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per\Downloads\Курская\"/>
    </mc:Choice>
  </mc:AlternateContent>
  <xr:revisionPtr revIDLastSave="0" documentId="13_ncr:1_{29CA440F-48BA-4099-87D6-627F9B070CCA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Настройки" sheetId="1" r:id="rId1"/>
    <sheet name="Касса" sheetId="2" r:id="rId2"/>
    <sheet name="Отчет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" i="2" l="1"/>
  <c r="W4" i="2"/>
  <c r="V15" i="2"/>
  <c r="S15" i="2"/>
  <c r="V14" i="2"/>
  <c r="V13" i="2"/>
  <c r="J6" i="2"/>
  <c r="J7" i="2"/>
  <c r="Q6" i="2"/>
  <c r="Q4" i="2"/>
  <c r="J5" i="2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Q5" i="2"/>
  <c r="Q7" i="2"/>
  <c r="Q8" i="2"/>
  <c r="S8" i="2" s="1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J4" i="2"/>
  <c r="G4" i="2"/>
  <c r="W5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V4" i="2"/>
  <c r="S4" i="2"/>
  <c r="S5" i="2"/>
  <c r="S6" i="2"/>
  <c r="S7" i="2"/>
  <c r="S9" i="2"/>
  <c r="S10" i="2"/>
  <c r="S11" i="2"/>
  <c r="S12" i="2"/>
  <c r="S13" i="2"/>
  <c r="S14" i="2"/>
  <c r="S16" i="2"/>
  <c r="S17" i="2"/>
  <c r="S18" i="2"/>
  <c r="S19" i="2"/>
  <c r="S20" i="2"/>
  <c r="S21" i="2"/>
  <c r="S22" i="2"/>
  <c r="S23" i="2"/>
  <c r="S24" i="2"/>
  <c r="S25" i="2"/>
  <c r="S26" i="2"/>
  <c r="A52" i="3" l="1"/>
  <c r="C52" i="3" s="1"/>
  <c r="A51" i="3"/>
  <c r="C51" i="3" s="1"/>
  <c r="A50" i="3"/>
  <c r="C50" i="3" s="1"/>
  <c r="A49" i="3"/>
  <c r="C49" i="3" s="1"/>
  <c r="A48" i="3"/>
  <c r="C48" i="3" s="1"/>
  <c r="A47" i="3"/>
  <c r="C47" i="3" s="1"/>
  <c r="A46" i="3"/>
  <c r="C46" i="3" s="1"/>
  <c r="A45" i="3"/>
  <c r="C45" i="3" s="1"/>
  <c r="A44" i="3"/>
  <c r="C44" i="3" s="1"/>
  <c r="A43" i="3"/>
  <c r="C43" i="3" s="1"/>
  <c r="A42" i="3"/>
  <c r="C42" i="3" s="1"/>
  <c r="A41" i="3"/>
  <c r="C41" i="3" s="1"/>
  <c r="A40" i="3"/>
  <c r="C40" i="3" s="1"/>
  <c r="A39" i="3"/>
  <c r="C39" i="3" s="1"/>
  <c r="A38" i="3"/>
  <c r="C38" i="3" s="1"/>
  <c r="A37" i="3"/>
  <c r="C37" i="3" s="1"/>
  <c r="A36" i="3"/>
  <c r="C36" i="3" s="1"/>
  <c r="A35" i="3"/>
  <c r="C35" i="3" s="1"/>
  <c r="A34" i="3"/>
  <c r="C34" i="3" s="1"/>
  <c r="A33" i="3"/>
  <c r="C33" i="3" s="1"/>
  <c r="A32" i="3"/>
  <c r="C32" i="3" s="1"/>
  <c r="A31" i="3"/>
  <c r="C31" i="3" s="1"/>
  <c r="A30" i="3"/>
  <c r="C30" i="3" s="1"/>
  <c r="A29" i="3"/>
  <c r="C29" i="3" s="1"/>
  <c r="A28" i="3"/>
  <c r="C28" i="3" s="1"/>
  <c r="A27" i="3"/>
  <c r="C27" i="3" s="1"/>
  <c r="A26" i="3"/>
  <c r="C26" i="3" s="1"/>
  <c r="A25" i="3"/>
  <c r="C25" i="3" s="1"/>
  <c r="A24" i="3"/>
  <c r="C24" i="3" s="1"/>
  <c r="A23" i="3"/>
  <c r="C23" i="3" s="1"/>
  <c r="A22" i="3"/>
  <c r="C22" i="3" s="1"/>
  <c r="B15" i="3"/>
  <c r="B14" i="3"/>
  <c r="B13" i="3"/>
  <c r="B12" i="3"/>
  <c r="C7" i="3"/>
  <c r="B7" i="3"/>
  <c r="C6" i="3"/>
  <c r="B6" i="3"/>
  <c r="C5" i="3"/>
  <c r="B5" i="3"/>
  <c r="V102" i="2"/>
  <c r="S102" i="2"/>
  <c r="T102" i="2" s="1"/>
  <c r="Q102" i="2"/>
  <c r="O102" i="2"/>
  <c r="N102" i="2"/>
  <c r="J102" i="2"/>
  <c r="G102" i="2"/>
  <c r="B102" i="2"/>
  <c r="V101" i="2"/>
  <c r="S101" i="2"/>
  <c r="T101" i="2" s="1"/>
  <c r="Q101" i="2"/>
  <c r="O101" i="2"/>
  <c r="N101" i="2"/>
  <c r="J101" i="2"/>
  <c r="G101" i="2"/>
  <c r="B101" i="2"/>
  <c r="V100" i="2"/>
  <c r="S100" i="2"/>
  <c r="T100" i="2" s="1"/>
  <c r="Q100" i="2"/>
  <c r="O100" i="2"/>
  <c r="N100" i="2"/>
  <c r="J100" i="2"/>
  <c r="G100" i="2"/>
  <c r="B100" i="2"/>
  <c r="V99" i="2"/>
  <c r="S99" i="2"/>
  <c r="T99" i="2" s="1"/>
  <c r="Q99" i="2"/>
  <c r="O99" i="2"/>
  <c r="N99" i="2"/>
  <c r="J99" i="2"/>
  <c r="G99" i="2"/>
  <c r="B99" i="2"/>
  <c r="V98" i="2"/>
  <c r="S98" i="2"/>
  <c r="T98" i="2" s="1"/>
  <c r="Q98" i="2"/>
  <c r="O98" i="2"/>
  <c r="N98" i="2"/>
  <c r="J98" i="2"/>
  <c r="G98" i="2"/>
  <c r="B98" i="2"/>
  <c r="V97" i="2"/>
  <c r="S97" i="2"/>
  <c r="T97" i="2" s="1"/>
  <c r="Q97" i="2"/>
  <c r="O97" i="2"/>
  <c r="N97" i="2"/>
  <c r="J97" i="2"/>
  <c r="G97" i="2"/>
  <c r="B97" i="2"/>
  <c r="V96" i="2"/>
  <c r="S96" i="2"/>
  <c r="T96" i="2" s="1"/>
  <c r="Q96" i="2"/>
  <c r="O96" i="2"/>
  <c r="N96" i="2"/>
  <c r="J96" i="2"/>
  <c r="G96" i="2"/>
  <c r="B96" i="2"/>
  <c r="V95" i="2"/>
  <c r="S95" i="2"/>
  <c r="T95" i="2" s="1"/>
  <c r="Q95" i="2"/>
  <c r="O95" i="2"/>
  <c r="N95" i="2"/>
  <c r="J95" i="2"/>
  <c r="G95" i="2"/>
  <c r="B95" i="2"/>
  <c r="V94" i="2"/>
  <c r="S94" i="2"/>
  <c r="T94" i="2" s="1"/>
  <c r="Q94" i="2"/>
  <c r="O94" i="2"/>
  <c r="N94" i="2"/>
  <c r="J94" i="2"/>
  <c r="G94" i="2"/>
  <c r="B94" i="2"/>
  <c r="V93" i="2"/>
  <c r="T93" i="2"/>
  <c r="S93" i="2"/>
  <c r="Q93" i="2"/>
  <c r="O93" i="2"/>
  <c r="N93" i="2"/>
  <c r="J93" i="2"/>
  <c r="G93" i="2"/>
  <c r="B93" i="2"/>
  <c r="V92" i="2"/>
  <c r="S92" i="2"/>
  <c r="T92" i="2" s="1"/>
  <c r="Q92" i="2"/>
  <c r="O92" i="2"/>
  <c r="N92" i="2"/>
  <c r="J92" i="2"/>
  <c r="G92" i="2"/>
  <c r="B92" i="2"/>
  <c r="V91" i="2"/>
  <c r="S91" i="2"/>
  <c r="T91" i="2" s="1"/>
  <c r="Q91" i="2"/>
  <c r="O91" i="2"/>
  <c r="N91" i="2"/>
  <c r="J91" i="2"/>
  <c r="G91" i="2"/>
  <c r="B91" i="2"/>
  <c r="V90" i="2"/>
  <c r="S90" i="2"/>
  <c r="T90" i="2" s="1"/>
  <c r="Q90" i="2"/>
  <c r="O90" i="2"/>
  <c r="N90" i="2"/>
  <c r="J90" i="2"/>
  <c r="G90" i="2"/>
  <c r="B90" i="2"/>
  <c r="V89" i="2"/>
  <c r="T89" i="2"/>
  <c r="S89" i="2"/>
  <c r="Q89" i="2"/>
  <c r="O89" i="2"/>
  <c r="N89" i="2"/>
  <c r="J89" i="2"/>
  <c r="G89" i="2"/>
  <c r="B89" i="2"/>
  <c r="V88" i="2"/>
  <c r="S88" i="2"/>
  <c r="T88" i="2" s="1"/>
  <c r="Q88" i="2"/>
  <c r="O88" i="2"/>
  <c r="N88" i="2"/>
  <c r="J88" i="2"/>
  <c r="G88" i="2"/>
  <c r="B88" i="2"/>
  <c r="V87" i="2"/>
  <c r="S87" i="2"/>
  <c r="T87" i="2" s="1"/>
  <c r="Q87" i="2"/>
  <c r="O87" i="2"/>
  <c r="N87" i="2"/>
  <c r="J87" i="2"/>
  <c r="G87" i="2"/>
  <c r="B87" i="2"/>
  <c r="V86" i="2"/>
  <c r="S86" i="2"/>
  <c r="T86" i="2" s="1"/>
  <c r="Q86" i="2"/>
  <c r="O86" i="2"/>
  <c r="N86" i="2"/>
  <c r="J86" i="2"/>
  <c r="G86" i="2"/>
  <c r="B86" i="2"/>
  <c r="V85" i="2"/>
  <c r="S85" i="2"/>
  <c r="T85" i="2" s="1"/>
  <c r="Q85" i="2"/>
  <c r="O85" i="2"/>
  <c r="N85" i="2"/>
  <c r="J85" i="2"/>
  <c r="G85" i="2"/>
  <c r="B85" i="2"/>
  <c r="V84" i="2"/>
  <c r="S84" i="2"/>
  <c r="T84" i="2" s="1"/>
  <c r="Q84" i="2"/>
  <c r="O84" i="2"/>
  <c r="N84" i="2"/>
  <c r="J84" i="2"/>
  <c r="G84" i="2"/>
  <c r="B84" i="2"/>
  <c r="V83" i="2"/>
  <c r="S83" i="2"/>
  <c r="T83" i="2" s="1"/>
  <c r="Q83" i="2"/>
  <c r="O83" i="2"/>
  <c r="N83" i="2"/>
  <c r="J83" i="2"/>
  <c r="G83" i="2"/>
  <c r="B83" i="2"/>
  <c r="V82" i="2"/>
  <c r="S82" i="2"/>
  <c r="T82" i="2" s="1"/>
  <c r="Q82" i="2"/>
  <c r="O82" i="2"/>
  <c r="N82" i="2"/>
  <c r="J82" i="2"/>
  <c r="G82" i="2"/>
  <c r="B82" i="2"/>
  <c r="V81" i="2"/>
  <c r="S81" i="2"/>
  <c r="T81" i="2" s="1"/>
  <c r="Q81" i="2"/>
  <c r="O81" i="2"/>
  <c r="N81" i="2"/>
  <c r="J81" i="2"/>
  <c r="G81" i="2"/>
  <c r="B81" i="2"/>
  <c r="V80" i="2"/>
  <c r="S80" i="2"/>
  <c r="T80" i="2" s="1"/>
  <c r="Q80" i="2"/>
  <c r="O80" i="2"/>
  <c r="N80" i="2"/>
  <c r="J80" i="2"/>
  <c r="G80" i="2"/>
  <c r="B80" i="2"/>
  <c r="V79" i="2"/>
  <c r="S79" i="2"/>
  <c r="T79" i="2" s="1"/>
  <c r="Q79" i="2"/>
  <c r="O79" i="2"/>
  <c r="N79" i="2"/>
  <c r="J79" i="2"/>
  <c r="G79" i="2"/>
  <c r="B79" i="2"/>
  <c r="V78" i="2"/>
  <c r="S78" i="2"/>
  <c r="T78" i="2" s="1"/>
  <c r="Q78" i="2"/>
  <c r="O78" i="2"/>
  <c r="N78" i="2"/>
  <c r="J78" i="2"/>
  <c r="G78" i="2"/>
  <c r="B78" i="2"/>
  <c r="V77" i="2"/>
  <c r="S77" i="2"/>
  <c r="T77" i="2" s="1"/>
  <c r="Q77" i="2"/>
  <c r="O77" i="2"/>
  <c r="N77" i="2"/>
  <c r="J77" i="2"/>
  <c r="G77" i="2"/>
  <c r="B77" i="2"/>
  <c r="V76" i="2"/>
  <c r="S76" i="2"/>
  <c r="T76" i="2" s="1"/>
  <c r="Q76" i="2"/>
  <c r="O76" i="2"/>
  <c r="N76" i="2"/>
  <c r="J76" i="2"/>
  <c r="G76" i="2"/>
  <c r="B76" i="2"/>
  <c r="V75" i="2"/>
  <c r="S75" i="2"/>
  <c r="T75" i="2" s="1"/>
  <c r="Q75" i="2"/>
  <c r="O75" i="2"/>
  <c r="N75" i="2"/>
  <c r="J75" i="2"/>
  <c r="G75" i="2"/>
  <c r="B75" i="2"/>
  <c r="V74" i="2"/>
  <c r="S74" i="2"/>
  <c r="T74" i="2" s="1"/>
  <c r="Q74" i="2"/>
  <c r="O74" i="2"/>
  <c r="N74" i="2"/>
  <c r="J74" i="2"/>
  <c r="G74" i="2"/>
  <c r="B74" i="2"/>
  <c r="V73" i="2"/>
  <c r="S73" i="2"/>
  <c r="T73" i="2" s="1"/>
  <c r="Q73" i="2"/>
  <c r="O73" i="2"/>
  <c r="N73" i="2"/>
  <c r="J73" i="2"/>
  <c r="G73" i="2"/>
  <c r="B73" i="2"/>
  <c r="V72" i="2"/>
  <c r="S72" i="2"/>
  <c r="T72" i="2" s="1"/>
  <c r="Q72" i="2"/>
  <c r="O72" i="2"/>
  <c r="N72" i="2"/>
  <c r="J72" i="2"/>
  <c r="G72" i="2"/>
  <c r="B72" i="2"/>
  <c r="V71" i="2"/>
  <c r="S71" i="2"/>
  <c r="T71" i="2" s="1"/>
  <c r="Q71" i="2"/>
  <c r="O71" i="2"/>
  <c r="N71" i="2"/>
  <c r="J71" i="2"/>
  <c r="G71" i="2"/>
  <c r="B71" i="2"/>
  <c r="V70" i="2"/>
  <c r="S70" i="2"/>
  <c r="T70" i="2" s="1"/>
  <c r="Q70" i="2"/>
  <c r="O70" i="2"/>
  <c r="N70" i="2"/>
  <c r="J70" i="2"/>
  <c r="G70" i="2"/>
  <c r="B70" i="2"/>
  <c r="V69" i="2"/>
  <c r="S69" i="2"/>
  <c r="T69" i="2" s="1"/>
  <c r="Q69" i="2"/>
  <c r="O69" i="2"/>
  <c r="N69" i="2"/>
  <c r="J69" i="2"/>
  <c r="G69" i="2"/>
  <c r="B69" i="2"/>
  <c r="V68" i="2"/>
  <c r="S68" i="2"/>
  <c r="T68" i="2" s="1"/>
  <c r="Q68" i="2"/>
  <c r="O68" i="2"/>
  <c r="N68" i="2"/>
  <c r="J68" i="2"/>
  <c r="G68" i="2"/>
  <c r="B68" i="2"/>
  <c r="V67" i="2"/>
  <c r="S67" i="2"/>
  <c r="T67" i="2" s="1"/>
  <c r="Q67" i="2"/>
  <c r="O67" i="2"/>
  <c r="N67" i="2"/>
  <c r="J67" i="2"/>
  <c r="G67" i="2"/>
  <c r="B67" i="2"/>
  <c r="V66" i="2"/>
  <c r="S66" i="2"/>
  <c r="T66" i="2" s="1"/>
  <c r="Q66" i="2"/>
  <c r="O66" i="2"/>
  <c r="N66" i="2"/>
  <c r="J66" i="2"/>
  <c r="G66" i="2"/>
  <c r="B66" i="2"/>
  <c r="V65" i="2"/>
  <c r="S65" i="2"/>
  <c r="T65" i="2" s="1"/>
  <c r="Q65" i="2"/>
  <c r="O65" i="2"/>
  <c r="N65" i="2"/>
  <c r="J65" i="2"/>
  <c r="G65" i="2"/>
  <c r="B65" i="2"/>
  <c r="V64" i="2"/>
  <c r="S64" i="2"/>
  <c r="T64" i="2" s="1"/>
  <c r="Q64" i="2"/>
  <c r="O64" i="2"/>
  <c r="N64" i="2"/>
  <c r="J64" i="2"/>
  <c r="G64" i="2"/>
  <c r="B64" i="2"/>
  <c r="V63" i="2"/>
  <c r="S63" i="2"/>
  <c r="T63" i="2" s="1"/>
  <c r="Q63" i="2"/>
  <c r="O63" i="2"/>
  <c r="N63" i="2"/>
  <c r="J63" i="2"/>
  <c r="G63" i="2"/>
  <c r="B63" i="2"/>
  <c r="V62" i="2"/>
  <c r="S62" i="2"/>
  <c r="T62" i="2" s="1"/>
  <c r="Q62" i="2"/>
  <c r="O62" i="2"/>
  <c r="N62" i="2"/>
  <c r="J62" i="2"/>
  <c r="G62" i="2"/>
  <c r="B62" i="2"/>
  <c r="V61" i="2"/>
  <c r="S61" i="2"/>
  <c r="T61" i="2" s="1"/>
  <c r="Q61" i="2"/>
  <c r="O61" i="2"/>
  <c r="N61" i="2"/>
  <c r="J61" i="2"/>
  <c r="G61" i="2"/>
  <c r="B61" i="2"/>
  <c r="V60" i="2"/>
  <c r="S60" i="2"/>
  <c r="T60" i="2" s="1"/>
  <c r="Q60" i="2"/>
  <c r="O60" i="2"/>
  <c r="N60" i="2"/>
  <c r="J60" i="2"/>
  <c r="G60" i="2"/>
  <c r="B60" i="2"/>
  <c r="V59" i="2"/>
  <c r="S59" i="2"/>
  <c r="T59" i="2" s="1"/>
  <c r="Q59" i="2"/>
  <c r="O59" i="2"/>
  <c r="N59" i="2"/>
  <c r="J59" i="2"/>
  <c r="G59" i="2"/>
  <c r="B59" i="2"/>
  <c r="V58" i="2"/>
  <c r="S58" i="2"/>
  <c r="T58" i="2" s="1"/>
  <c r="Q58" i="2"/>
  <c r="O58" i="2"/>
  <c r="N58" i="2"/>
  <c r="J58" i="2"/>
  <c r="G58" i="2"/>
  <c r="B58" i="2"/>
  <c r="V57" i="2"/>
  <c r="S57" i="2"/>
  <c r="T57" i="2" s="1"/>
  <c r="Q57" i="2"/>
  <c r="O57" i="2"/>
  <c r="N57" i="2"/>
  <c r="J57" i="2"/>
  <c r="G57" i="2"/>
  <c r="B57" i="2"/>
  <c r="V56" i="2"/>
  <c r="S56" i="2"/>
  <c r="T56" i="2" s="1"/>
  <c r="Q56" i="2"/>
  <c r="O56" i="2"/>
  <c r="N56" i="2"/>
  <c r="J56" i="2"/>
  <c r="G56" i="2"/>
  <c r="B56" i="2"/>
  <c r="V55" i="2"/>
  <c r="S55" i="2"/>
  <c r="T55" i="2" s="1"/>
  <c r="Q55" i="2"/>
  <c r="O55" i="2"/>
  <c r="N55" i="2"/>
  <c r="J55" i="2"/>
  <c r="G55" i="2"/>
  <c r="B55" i="2"/>
  <c r="V54" i="2"/>
  <c r="S54" i="2"/>
  <c r="T54" i="2" s="1"/>
  <c r="Q54" i="2"/>
  <c r="O54" i="2"/>
  <c r="N54" i="2"/>
  <c r="J54" i="2"/>
  <c r="G54" i="2"/>
  <c r="B54" i="2"/>
  <c r="V53" i="2"/>
  <c r="S53" i="2"/>
  <c r="T53" i="2" s="1"/>
  <c r="Q53" i="2"/>
  <c r="O53" i="2"/>
  <c r="N53" i="2"/>
  <c r="J53" i="2"/>
  <c r="G53" i="2"/>
  <c r="B53" i="2"/>
  <c r="V52" i="2"/>
  <c r="S52" i="2"/>
  <c r="T52" i="2" s="1"/>
  <c r="Q52" i="2"/>
  <c r="O52" i="2"/>
  <c r="N52" i="2"/>
  <c r="J52" i="2"/>
  <c r="G52" i="2"/>
  <c r="B52" i="2"/>
  <c r="V51" i="2"/>
  <c r="S51" i="2"/>
  <c r="T51" i="2" s="1"/>
  <c r="Q51" i="2"/>
  <c r="O51" i="2"/>
  <c r="N51" i="2"/>
  <c r="J51" i="2"/>
  <c r="G51" i="2"/>
  <c r="B51" i="2"/>
  <c r="V50" i="2"/>
  <c r="S50" i="2"/>
  <c r="T50" i="2" s="1"/>
  <c r="Q50" i="2"/>
  <c r="O50" i="2"/>
  <c r="N50" i="2"/>
  <c r="J50" i="2"/>
  <c r="G50" i="2"/>
  <c r="B50" i="2"/>
  <c r="V49" i="2"/>
  <c r="S49" i="2"/>
  <c r="T49" i="2" s="1"/>
  <c r="Q49" i="2"/>
  <c r="O49" i="2"/>
  <c r="N49" i="2"/>
  <c r="J49" i="2"/>
  <c r="G49" i="2"/>
  <c r="B49" i="2"/>
  <c r="V48" i="2"/>
  <c r="S48" i="2"/>
  <c r="T48" i="2" s="1"/>
  <c r="Q48" i="2"/>
  <c r="O48" i="2"/>
  <c r="N48" i="2"/>
  <c r="J48" i="2"/>
  <c r="G48" i="2"/>
  <c r="B48" i="2"/>
  <c r="V47" i="2"/>
  <c r="S47" i="2"/>
  <c r="T47" i="2" s="1"/>
  <c r="Q47" i="2"/>
  <c r="O47" i="2"/>
  <c r="N47" i="2"/>
  <c r="J47" i="2"/>
  <c r="G47" i="2"/>
  <c r="B47" i="2"/>
  <c r="V46" i="2"/>
  <c r="S46" i="2"/>
  <c r="T46" i="2" s="1"/>
  <c r="Q46" i="2"/>
  <c r="O46" i="2"/>
  <c r="N46" i="2"/>
  <c r="J46" i="2"/>
  <c r="G46" i="2"/>
  <c r="B46" i="2"/>
  <c r="V45" i="2"/>
  <c r="S45" i="2"/>
  <c r="T45" i="2" s="1"/>
  <c r="Q45" i="2"/>
  <c r="O45" i="2"/>
  <c r="N45" i="2"/>
  <c r="J45" i="2"/>
  <c r="G45" i="2"/>
  <c r="B45" i="2"/>
  <c r="V44" i="2"/>
  <c r="S44" i="2"/>
  <c r="T44" i="2" s="1"/>
  <c r="Q44" i="2"/>
  <c r="O44" i="2"/>
  <c r="N44" i="2"/>
  <c r="J44" i="2"/>
  <c r="G44" i="2"/>
  <c r="B44" i="2"/>
  <c r="V43" i="2"/>
  <c r="S43" i="2"/>
  <c r="T43" i="2" s="1"/>
  <c r="Q43" i="2"/>
  <c r="O43" i="2"/>
  <c r="N43" i="2"/>
  <c r="J43" i="2"/>
  <c r="G43" i="2"/>
  <c r="B43" i="2"/>
  <c r="V42" i="2"/>
  <c r="S42" i="2"/>
  <c r="T42" i="2" s="1"/>
  <c r="Q42" i="2"/>
  <c r="O42" i="2"/>
  <c r="N42" i="2"/>
  <c r="J42" i="2"/>
  <c r="G42" i="2"/>
  <c r="B42" i="2"/>
  <c r="V41" i="2"/>
  <c r="S41" i="2"/>
  <c r="T41" i="2" s="1"/>
  <c r="Q41" i="2"/>
  <c r="O41" i="2"/>
  <c r="N41" i="2"/>
  <c r="J41" i="2"/>
  <c r="G41" i="2"/>
  <c r="B41" i="2"/>
  <c r="V40" i="2"/>
  <c r="S40" i="2"/>
  <c r="T40" i="2" s="1"/>
  <c r="Q40" i="2"/>
  <c r="O40" i="2"/>
  <c r="N40" i="2"/>
  <c r="J40" i="2"/>
  <c r="G40" i="2"/>
  <c r="B40" i="2"/>
  <c r="V39" i="2"/>
  <c r="S39" i="2"/>
  <c r="T39" i="2" s="1"/>
  <c r="Q39" i="2"/>
  <c r="O39" i="2"/>
  <c r="N39" i="2"/>
  <c r="J39" i="2"/>
  <c r="G39" i="2"/>
  <c r="B39" i="2"/>
  <c r="V38" i="2"/>
  <c r="S38" i="2"/>
  <c r="T38" i="2" s="1"/>
  <c r="Q38" i="2"/>
  <c r="O38" i="2"/>
  <c r="N38" i="2"/>
  <c r="J38" i="2"/>
  <c r="G38" i="2"/>
  <c r="B38" i="2"/>
  <c r="V37" i="2"/>
  <c r="S37" i="2"/>
  <c r="T37" i="2" s="1"/>
  <c r="Q37" i="2"/>
  <c r="O37" i="2"/>
  <c r="N37" i="2"/>
  <c r="J37" i="2"/>
  <c r="G37" i="2"/>
  <c r="B37" i="2"/>
  <c r="V36" i="2"/>
  <c r="S36" i="2"/>
  <c r="T36" i="2" s="1"/>
  <c r="Q36" i="2"/>
  <c r="O36" i="2"/>
  <c r="N36" i="2"/>
  <c r="J36" i="2"/>
  <c r="G36" i="2"/>
  <c r="B36" i="2"/>
  <c r="V35" i="2"/>
  <c r="S35" i="2"/>
  <c r="T35" i="2" s="1"/>
  <c r="Q35" i="2"/>
  <c r="O35" i="2"/>
  <c r="N35" i="2"/>
  <c r="J35" i="2"/>
  <c r="G35" i="2"/>
  <c r="B35" i="2"/>
  <c r="V34" i="2"/>
  <c r="S34" i="2"/>
  <c r="T34" i="2" s="1"/>
  <c r="Q34" i="2"/>
  <c r="O34" i="2"/>
  <c r="N34" i="2"/>
  <c r="V33" i="2"/>
  <c r="S33" i="2"/>
  <c r="T33" i="2" s="1"/>
  <c r="Q33" i="2"/>
  <c r="O33" i="2"/>
  <c r="N33" i="2"/>
  <c r="V32" i="2"/>
  <c r="S32" i="2"/>
  <c r="T32" i="2" s="1"/>
  <c r="V31" i="2"/>
  <c r="S31" i="2"/>
  <c r="T31" i="2" s="1"/>
  <c r="V30" i="2"/>
  <c r="S30" i="2"/>
  <c r="T30" i="2" s="1"/>
  <c r="V29" i="2"/>
  <c r="S29" i="2"/>
  <c r="T29" i="2" s="1"/>
  <c r="V28" i="2"/>
  <c r="S28" i="2"/>
  <c r="T28" i="2" s="1"/>
  <c r="V27" i="2"/>
  <c r="S27" i="2"/>
  <c r="T27" i="2" s="1"/>
  <c r="V26" i="2"/>
  <c r="T26" i="2"/>
  <c r="V25" i="2"/>
  <c r="T25" i="2"/>
  <c r="V24" i="2"/>
  <c r="T24" i="2"/>
  <c r="V23" i="2"/>
  <c r="T23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T16" i="2"/>
  <c r="T15" i="2"/>
  <c r="T14" i="2"/>
  <c r="T13" i="2"/>
  <c r="V12" i="2"/>
  <c r="T12" i="2"/>
  <c r="V11" i="2"/>
  <c r="T11" i="2"/>
  <c r="V10" i="2"/>
  <c r="T10" i="2"/>
  <c r="V9" i="2"/>
  <c r="T9" i="2"/>
  <c r="V8" i="2"/>
  <c r="T8" i="2"/>
  <c r="V7" i="2"/>
  <c r="T7" i="2"/>
  <c r="V6" i="2"/>
  <c r="T6" i="2"/>
  <c r="V5" i="2"/>
  <c r="T5" i="2"/>
  <c r="D6" i="3" l="1"/>
  <c r="D5" i="3"/>
  <c r="C8" i="3"/>
  <c r="D7" i="3"/>
  <c r="B20" i="3"/>
  <c r="B9" i="3"/>
  <c r="C9" i="3"/>
  <c r="B17" i="3"/>
  <c r="B16" i="3"/>
  <c r="T4" i="2"/>
  <c r="B18" i="3"/>
  <c r="B8" i="3"/>
  <c r="B25" i="3"/>
  <c r="B29" i="3"/>
  <c r="B33" i="3"/>
  <c r="B37" i="3"/>
  <c r="B41" i="3"/>
  <c r="B45" i="3"/>
  <c r="B49" i="3"/>
  <c r="B22" i="3"/>
  <c r="B26" i="3"/>
  <c r="B30" i="3"/>
  <c r="B34" i="3"/>
  <c r="B38" i="3"/>
  <c r="B42" i="3"/>
  <c r="B46" i="3"/>
  <c r="B50" i="3"/>
  <c r="B23" i="3"/>
  <c r="B27" i="3"/>
  <c r="B31" i="3"/>
  <c r="B35" i="3"/>
  <c r="B39" i="3"/>
  <c r="B43" i="3"/>
  <c r="B47" i="3"/>
  <c r="B51" i="3"/>
  <c r="B24" i="3"/>
  <c r="B28" i="3"/>
  <c r="B32" i="3"/>
  <c r="B36" i="3"/>
  <c r="B40" i="3"/>
  <c r="B44" i="3"/>
  <c r="B48" i="3"/>
  <c r="B52" i="3"/>
  <c r="D8" i="3" l="1"/>
  <c r="B19" i="3"/>
  <c r="D9" i="3"/>
</calcChain>
</file>

<file path=xl/sharedStrings.xml><?xml version="1.0" encoding="utf-8"?>
<sst xmlns="http://schemas.openxmlformats.org/spreadsheetml/2006/main" count="158" uniqueCount="92">
  <si>
    <t>НАСТРОЙКИ ЗАРПЛАТЫ</t>
  </si>
  <si>
    <t>Сотрудник</t>
  </si>
  <si>
    <t>Ставка за смену, ₽</t>
  </si>
  <si>
    <t>% от личной выручки</t>
  </si>
  <si>
    <t>Варианты смены</t>
  </si>
  <si>
    <t>Ирина Константиновна</t>
  </si>
  <si>
    <t>Ирина</t>
  </si>
  <si>
    <t>Татьяна</t>
  </si>
  <si>
    <t>Обе</t>
  </si>
  <si>
    <t>Как работать</t>
  </si>
  <si>
    <t>1</t>
  </si>
  <si>
    <t>Меняйте только ставку и процент в строках сотрудников.</t>
  </si>
  <si>
    <t>2</t>
  </si>
  <si>
    <t>На листе «Касса» каждый день выбирайте смену и вносите продажи.</t>
  </si>
  <si>
    <t>3</t>
  </si>
  <si>
    <t>Наличка влияет на кассу; безнал — только на выручку.</t>
  </si>
  <si>
    <t>КАССА • ПРОДАЖИ • ЗАРПЛАТА • КОНТРОЛЬ</t>
  </si>
  <si>
    <t>Каждый день: Смена → продажи → расходы/внесения/изъятия → выданная ЗП → фактический остаток. Разница = Факт − Расчёт. Отрицательная разница означает недостачу учёта, но не доказывает кражу.</t>
  </si>
  <si>
    <t>Дата</t>
  </si>
  <si>
    <t>День недели</t>
  </si>
  <si>
    <t>Смена</t>
  </si>
  <si>
    <t>Остаток утром (нал)</t>
  </si>
  <si>
    <t>Наличка Ирина</t>
  </si>
  <si>
    <t>Безнал Ирина</t>
  </si>
  <si>
    <t>Итого Ирина</t>
  </si>
  <si>
    <t>Наличка Татьяна</t>
  </si>
  <si>
    <t>Безнал Татьяна</t>
  </si>
  <si>
    <t>Итого Татьяна</t>
  </si>
  <si>
    <t>Расход (нал)</t>
  </si>
  <si>
    <t>Внесено доп. в кассу (нал)</t>
  </si>
  <si>
    <t>Изъято из кассы (нал)</t>
  </si>
  <si>
    <t>ЗП Ирина (начислено)</t>
  </si>
  <si>
    <t>ЗП Татьяна (начислено)</t>
  </si>
  <si>
    <t>Выдано ЗП из кассы (нал)</t>
  </si>
  <si>
    <t>Остаток вечером (расчёт)</t>
  </si>
  <si>
    <t>Остаток вечером (факт)</t>
  </si>
  <si>
    <t>Разница</t>
  </si>
  <si>
    <t>Статус</t>
  </si>
  <si>
    <t>Комментарий</t>
  </si>
  <si>
    <t>Проверка утра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</si>
  <si>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</si>
  <si>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</si>
  <si>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</si>
  <si>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</si>
  <si>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</si>
  <si>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</si>
  <si>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</si>
  <si>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ОТЧЁТ ПО КАССЕ И ПРОДАЖАМ</t>
  </si>
  <si>
    <t>Период</t>
  </si>
  <si>
    <t>Показатель</t>
  </si>
  <si>
    <t>ВСЕГО</t>
  </si>
  <si>
    <t>Что смотреть каждый день</t>
  </si>
  <si>
    <t>Рабочих смен</t>
  </si>
  <si>
    <t>Фактический остаток вечером</t>
  </si>
  <si>
    <t>вносите вручную</t>
  </si>
  <si>
    <t>колонка R</t>
  </si>
  <si>
    <t>Выручка нал</t>
  </si>
  <si>
    <t>Факт − Расчёт</t>
  </si>
  <si>
    <t>колонка S</t>
  </si>
  <si>
    <t>Выручка безнал</t>
  </si>
  <si>
    <t>НЕДОСТАЧА / ИЗЛИШЕК</t>
  </si>
  <si>
    <t>колонка T</t>
  </si>
  <si>
    <t>ОБЩАЯ ВЫРУЧКА</t>
  </si>
  <si>
    <t>4</t>
  </si>
  <si>
    <t>Продажи</t>
  </si>
  <si>
    <t>сверяйте наличку и безнал</t>
  </si>
  <si>
    <t>E/F и H/I</t>
  </si>
  <si>
    <t>ЗП начислено</t>
  </si>
  <si>
    <t>5</t>
  </si>
  <si>
    <t>Расходы</t>
  </si>
  <si>
    <t>только из кассы</t>
  </si>
  <si>
    <t>K</t>
  </si>
  <si>
    <t>6</t>
  </si>
  <si>
    <t>Выданная ЗП</t>
  </si>
  <si>
    <t>только если реально выдали из кассы</t>
  </si>
  <si>
    <t>P</t>
  </si>
  <si>
    <t>КОНТРОЛЬ КАССЫ</t>
  </si>
  <si>
    <t>Значение</t>
  </si>
  <si>
    <t>Расходы из кассы</t>
  </si>
  <si>
    <t>Важно: отрицательная разница = фактическая наличка ниже расчётной. Это сигнал для проверки чеков, возвратов, расходов и внесений, а не доказательство хищения. 16.09 расход 30 950 ₽ снят как неподтверждённый; внесения 6 120 ₽ и 5 700 ₽ отмечены как требующие подтверждения. 01.09 имеет отдельную недостачу 30 356 ₽ — её нужно сверить по фактическому остатку/операциям этого дня.</t>
  </si>
  <si>
    <t>Внесено доп. в кассу</t>
  </si>
  <si>
    <t>Изъято из кассы</t>
  </si>
  <si>
    <t>ЗП выдано из кассы</t>
  </si>
  <si>
    <t>ВСЕГО НЕДОСТАЧА</t>
  </si>
  <si>
    <t>ВСЕГО ИЗЛИШЕК</t>
  </si>
  <si>
    <t>ДНЕЙ С НЕДОСТАЧЕЙ</t>
  </si>
  <si>
    <t>Средняя недостача</t>
  </si>
  <si>
    <t>ПРОВЕРОК УТРОМ</t>
  </si>
  <si>
    <t>Выручка за все дни</t>
  </si>
  <si>
    <t>мешки - 750, дворник - 5000, 
доставка - 1050 за 05.10.26</t>
  </si>
  <si>
    <t>георгин 70 шт - 9800</t>
  </si>
  <si>
    <t>курьер - 950,
скидка букет тюльпанов 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</si>
</sst>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₽&quot;"/>
    <numFmt numFmtId="165" formatCode="#,##0.00\ &quot;₽&quot;"/>
    <numFmt numFmtId="166" formatCode="dd\.mm\.yy"/>
    <numFmt numFmtId="167" formatCode="#,##0.0\ &quot;₽&quot;"/>
  </numFmts>
  <fonts count="10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i/>
      <sz val="10"/>
      <name val="Calibri"/>
    </font>
    <font>
      <b/>
      <sz val="14"/>
      <color rgb="FFFFFFFF"/>
      <name val="Calibri"/>
    </font>
    <font>
      <b/>
      <sz val="15"/>
      <color rgb="FFFFFFFF"/>
      <name val="Calibri"/>
    </font>
    <font>
      <sz val="11"/>
      <name val="Carlito"/>
    </font>
    <font>
      <sz val="8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FFCE6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3" fillId="0" borderId="0" xfId="1" applyFont="1"/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3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2" fillId="6" borderId="0" xfId="1" applyFont="1" applyFill="1" applyAlignment="1">
      <alignment horizontal="center" vertical="center" wrapText="1"/>
    </xf>
    <xf numFmtId="0" fontId="3" fillId="8" borderId="0" xfId="1" applyFont="1" applyFill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4" fillId="3" borderId="0" xfId="1" applyFont="1" applyFill="1" applyAlignment="1">
      <alignment wrapText="1"/>
    </xf>
    <xf numFmtId="0" fontId="3" fillId="0" borderId="0" xfId="1" applyFont="1" applyAlignment="1">
      <alignment wrapText="1"/>
    </xf>
    <xf numFmtId="1" fontId="3" fillId="0" borderId="0" xfId="1" applyNumberFormat="1" applyFont="1" applyAlignment="1">
      <alignment vertical="center" wrapText="1"/>
    </xf>
    <xf numFmtId="0" fontId="4" fillId="0" borderId="0" xfId="1" applyFont="1" applyAlignment="1">
      <alignment wrapText="1"/>
    </xf>
    <xf numFmtId="165" fontId="3" fillId="0" borderId="0" xfId="1" applyNumberFormat="1" applyFont="1" applyAlignment="1">
      <alignment vertical="center" wrapText="1"/>
    </xf>
    <xf numFmtId="0" fontId="2" fillId="6" borderId="0" xfId="1" applyFont="1" applyFill="1" applyAlignment="1">
      <alignment vertical="center" wrapText="1"/>
    </xf>
    <xf numFmtId="165" fontId="2" fillId="6" borderId="0" xfId="1" applyNumberFormat="1" applyFont="1" applyFill="1" applyAlignment="1">
      <alignment vertical="center" wrapText="1"/>
    </xf>
    <xf numFmtId="0" fontId="2" fillId="6" borderId="0" xfId="1" applyFont="1" applyFill="1" applyAlignment="1">
      <alignment wrapText="1"/>
    </xf>
    <xf numFmtId="165" fontId="3" fillId="0" borderId="0" xfId="1" applyNumberFormat="1" applyFont="1" applyAlignment="1">
      <alignment wrapText="1"/>
    </xf>
    <xf numFmtId="166" fontId="3" fillId="7" borderId="0" xfId="1" applyNumberFormat="1" applyFont="1" applyFill="1" applyAlignment="1">
      <alignment vertical="center" wrapText="1"/>
    </xf>
    <xf numFmtId="166" fontId="4" fillId="3" borderId="0" xfId="1" applyNumberFormat="1" applyFont="1" applyFill="1" applyAlignment="1">
      <alignment wrapText="1"/>
    </xf>
    <xf numFmtId="166" fontId="3" fillId="0" borderId="0" xfId="1" applyNumberFormat="1" applyFont="1" applyAlignment="1">
      <alignment wrapText="1"/>
    </xf>
    <xf numFmtId="0" fontId="1" fillId="9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4" fillId="10" borderId="0" xfId="1" applyFont="1" applyFill="1" applyAlignment="1">
      <alignment wrapText="1"/>
    </xf>
    <xf numFmtId="1" fontId="4" fillId="10" borderId="0" xfId="1" applyNumberFormat="1" applyFont="1" applyFill="1" applyAlignment="1">
      <alignment wrapText="1"/>
    </xf>
    <xf numFmtId="1" fontId="3" fillId="0" borderId="0" xfId="1" applyNumberFormat="1" applyFont="1" applyAlignment="1">
      <alignment wrapText="1"/>
    </xf>
    <xf numFmtId="167" fontId="3" fillId="8" borderId="0" xfId="1" applyNumberFormat="1" applyFont="1" applyFill="1" applyAlignment="1">
      <alignment vertical="center" wrapText="1"/>
    </xf>
    <xf numFmtId="167" fontId="3" fillId="7" borderId="0" xfId="1" applyNumberFormat="1" applyFont="1" applyFill="1" applyAlignment="1">
      <alignment vertical="center" wrapText="1"/>
    </xf>
    <xf numFmtId="167" fontId="3" fillId="0" borderId="0" xfId="1" applyNumberFormat="1" applyFont="1"/>
    <xf numFmtId="167" fontId="0" fillId="0" borderId="0" xfId="0" applyNumberFormat="1"/>
    <xf numFmtId="10" fontId="3" fillId="0" borderId="0" xfId="1" applyNumberFormat="1" applyFont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5" fillId="5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wrapText="1"/>
    </xf>
    <xf numFmtId="0" fontId="3" fillId="5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24">
    <dxf>
      <font>
        <b/>
        <color rgb="FFB91C1C"/>
      </font>
      <fill>
        <patternFill patternType="solid">
          <bgColor rgb="FFFECACA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CACA"/>
        </patternFill>
      </fill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  <dxf>
      <numFmt numFmtId="167" formatCode="#,##0.0\ &quot;₽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Разница по дням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Разница</c:v>
          </c:tx>
          <c:marker>
            <c:symbol val="none"/>
          </c:marker>
          <c:cat>
            <c:multiLvlStrRef>
              <c:f>Отчеты!$A$22:$A$52</c:f>
            </c:multiLvlStrRef>
          </c:cat>
          <c:val>
            <c:numRef>
              <c:f>Отчеты!$B$22:$B$52</c:f>
              <c:numCache>
                <c:formatCode>#\ ##0.00\ "₽"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2B-4496-82BE-067529A9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\ &quot;₽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152400</xdr:rowOff>
    </xdr:from>
    <xdr:to>
      <xdr:col>22</xdr:col>
      <xdr:colOff>7620</xdr:colOff>
      <xdr:row>52</xdr:row>
      <xdr:rowOff>7620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ssaTable" displayName="KassaTable" ref="A3:U102" totalsRowShown="0">
  <tableColumns count="21">
    <tableColumn id="1" xr3:uid="{00000000-0010-0000-0000-000001000000}" name="Дата"/>
    <tableColumn id="2" xr3:uid="{00000000-0010-0000-0000-000002000000}" name="День недели"/>
    <tableColumn id="3" xr3:uid="{00000000-0010-0000-0000-000003000000}" name="Смена"/>
    <tableColumn id="4" xr3:uid="{00000000-0010-0000-0000-000004000000}" name="Остаток утром (нал)" dataDxfId="23"/>
    <tableColumn id="5" xr3:uid="{00000000-0010-0000-0000-000005000000}" name="Наличка Ирина" dataDxfId="22"/>
    <tableColumn id="6" xr3:uid="{00000000-0010-0000-0000-000006000000}" name="Безнал Ирина" dataDxfId="21"/>
    <tableColumn id="7" xr3:uid="{00000000-0010-0000-0000-000007000000}" name="Итого Ирина" dataDxfId="20"/>
    <tableColumn id="8" xr3:uid="{00000000-0010-0000-0000-000008000000}" name="Наличка Татьяна" dataDxfId="19"/>
    <tableColumn id="9" xr3:uid="{00000000-0010-0000-0000-000009000000}" name="Безнал Татьяна" dataDxfId="18"/>
    <tableColumn id="10" xr3:uid="{00000000-0010-0000-0000-00000A000000}" name="Итого Татьяна" dataDxfId="17"/>
    <tableColumn id="11" xr3:uid="{00000000-0010-0000-0000-00000B000000}" name="Расход (нал)" dataDxfId="16"/>
    <tableColumn id="12" xr3:uid="{00000000-0010-0000-0000-00000C000000}" name="Внесено доп. в кассу (нал)" dataDxfId="15"/>
    <tableColumn id="13" xr3:uid="{00000000-0010-0000-0000-00000D000000}" name="Изъято из кассы (нал)" dataDxfId="14"/>
    <tableColumn id="14" xr3:uid="{00000000-0010-0000-0000-00000E000000}" name="ЗП Ирина (начислено)" dataDxfId="13"/>
    <tableColumn id="15" xr3:uid="{00000000-0010-0000-0000-00000F000000}" name="ЗП Татьяна (начислено)" dataDxfId="12"/>
    <tableColumn id="16" xr3:uid="{00000000-0010-0000-0000-000010000000}" name="Выдано ЗП из кассы (нал)" dataDxfId="11"/>
    <tableColumn id="17" xr3:uid="{00000000-0010-0000-0000-000011000000}" name="Остаток вечером (расчёт)" dataDxfId="10"/>
    <tableColumn id="18" xr3:uid="{00000000-0010-0000-0000-000012000000}" name="Остаток вечером (факт)" dataDxfId="9"/>
    <tableColumn id="19" xr3:uid="{00000000-0010-0000-0000-000013000000}" name="Разница" dataDxfId="8"/>
    <tableColumn id="20" xr3:uid="{00000000-0010-0000-0000-000014000000}" name="Статус"/>
    <tableColumn id="21" xr3:uid="{00000000-0010-0000-0000-000015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workbookViewId="0">
      <selection activeCell="A4" sqref="A4"/>
    </sheetView>
  </sheetViews>
  <sheetFormatPr defaultRowHeight="13.8"/>
  <cols>
    <col min="1" max="1" width="24" customWidth="1"/>
    <col min="2" max="2" width="32" customWidth="1"/>
    <col min="3" max="3" width="23" customWidth="1"/>
    <col min="5" max="5" width="20" customWidth="1"/>
  </cols>
  <sheetData>
    <row r="1" spans="1:21" ht="14.4">
      <c r="A1" s="35" t="s">
        <v>0</v>
      </c>
      <c r="B1" s="35"/>
      <c r="C1" s="3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4">
      <c r="A2" s="2" t="s">
        <v>1</v>
      </c>
      <c r="B2" s="2" t="s">
        <v>2</v>
      </c>
      <c r="C2" s="2" t="s">
        <v>3</v>
      </c>
      <c r="D2" s="1"/>
      <c r="E2" s="3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4.4">
      <c r="A3" s="4" t="s">
        <v>5</v>
      </c>
      <c r="B3" s="5">
        <v>3500</v>
      </c>
      <c r="C3" s="32">
        <v>0.05</v>
      </c>
      <c r="D3" s="1"/>
      <c r="E3" s="1" t="s">
        <v>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4.4">
      <c r="A4" s="4" t="s">
        <v>7</v>
      </c>
      <c r="B4" s="5">
        <v>3500</v>
      </c>
      <c r="C4" s="32">
        <v>0.05</v>
      </c>
      <c r="D4" s="1"/>
      <c r="E4" s="1" t="s">
        <v>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4.4">
      <c r="A5" s="4"/>
      <c r="B5" s="4"/>
      <c r="C5" s="4"/>
      <c r="D5" s="1"/>
      <c r="E5" s="1" t="s">
        <v>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4.4">
      <c r="A6" s="36" t="s">
        <v>9</v>
      </c>
      <c r="B6" s="36"/>
      <c r="C6" s="3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4.4">
      <c r="A7" s="6" t="s">
        <v>10</v>
      </c>
      <c r="B7" s="37" t="s">
        <v>11</v>
      </c>
      <c r="C7" s="3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4.4">
      <c r="A8" s="6" t="s">
        <v>12</v>
      </c>
      <c r="B8" s="37" t="s">
        <v>13</v>
      </c>
      <c r="C8" s="3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4.4">
      <c r="A9" s="6" t="s">
        <v>14</v>
      </c>
      <c r="B9" s="37" t="s">
        <v>15</v>
      </c>
      <c r="C9" s="3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</sheetData>
  <mergeCells count="3">
    <mergeCell ref="A1:C1"/>
    <mergeCell ref="A6:C6"/>
    <mergeCell ref="B7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9"/>
  <sheetViews>
    <sheetView tabSelected="1" zoomScale="80" zoomScaleNormal="80" workbookViewId="0">
      <selection activeCell="U21" sqref="U21"/>
    </sheetView>
  </sheetViews>
  <sheetFormatPr defaultRowHeight="13.8"/>
  <cols>
    <col min="1" max="1" width="12" customWidth="1"/>
    <col min="2" max="2" width="14" customWidth="1"/>
    <col min="3" max="3" width="12" customWidth="1"/>
    <col min="4" max="4" width="19" customWidth="1"/>
    <col min="5" max="7" width="15" customWidth="1"/>
    <col min="8" max="8" width="17" customWidth="1"/>
    <col min="9" max="10" width="16" customWidth="1"/>
    <col min="11" max="11" width="14" customWidth="1"/>
    <col min="12" max="12" width="19" customWidth="1"/>
    <col min="13" max="13" width="17" customWidth="1"/>
    <col min="14" max="15" width="18" customWidth="1"/>
    <col min="16" max="18" width="19" customWidth="1"/>
    <col min="19" max="19" width="15" customWidth="1"/>
    <col min="20" max="20" width="14" customWidth="1"/>
    <col min="21" max="21" width="34" customWidth="1"/>
    <col min="22" max="22" width="18" customWidth="1"/>
    <col min="23" max="23" width="25" customWidth="1"/>
    <col min="24" max="24" width="11.8984375" bestFit="1" customWidth="1"/>
  </cols>
  <sheetData>
    <row r="1" spans="1:24" ht="18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4">
      <c r="A2" s="34" t="s">
        <v>17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4" ht="36" customHeight="1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8" t="s">
        <v>32</v>
      </c>
      <c r="P3" s="8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23" t="s">
        <v>39</v>
      </c>
      <c r="W3" s="23" t="s">
        <v>88</v>
      </c>
    </row>
    <row r="4" spans="1:24">
      <c r="A4" s="20">
        <v>46296</v>
      </c>
      <c r="B4" s="9" t="s">
        <v>43</v>
      </c>
      <c r="C4" s="10" t="s">
        <v>6</v>
      </c>
      <c r="D4" s="29">
        <v>15050</v>
      </c>
      <c r="E4" s="29">
        <v>200</v>
      </c>
      <c r="F4" s="29">
        <v>35390</v>
      </c>
      <c r="G4" s="28">
        <f>IF(COUNTA(E4:F4)=0,"",SUM(E4:F4))</f>
        <v>35590</v>
      </c>
      <c r="H4" s="29"/>
      <c r="I4" s="29"/>
      <c r="J4" s="28" t="str">
        <f>IF(COUNTA(H4:I4)=0,"",SUM(H4:I4))</f>
        <v/>
      </c>
      <c r="K4" s="29"/>
      <c r="L4" s="29"/>
      <c r="M4" s="29"/>
      <c r="N4" s="28">
        <f>IF(OR(C4="Ирина",C4="Обе"),Настройки!$B$3+IF(G4="",0,G4)*Настройки!$C$3,0)</f>
        <v>5279.5</v>
      </c>
      <c r="O4" s="28">
        <f>IF(OR(C4="Татьяна",C4="Обе"),Настройки!$B$4+IF(J4="",0,J4)*Настройки!$C$4,0)</f>
        <v>0</v>
      </c>
      <c r="P4" s="29"/>
      <c r="Q4" s="28">
        <f>IF(A4="","",D4+E4+H4+L4-K4-P4-M4)</f>
        <v>15250</v>
      </c>
      <c r="R4" s="29">
        <v>15250</v>
      </c>
      <c r="S4" s="28">
        <f t="shared" ref="S4:S34" si="0">IF(ISNUMBER(R4),R4-Q4,"")</f>
        <v>0</v>
      </c>
      <c r="T4" s="9" t="str">
        <f t="shared" ref="T4:T34" si="1">IF(ISNUMBER(S4),IF(S4=0,"✅ ВСЁ ТОЧНО",IF(S4&lt;0,"❌ НЕДОСТАЧА "&amp;TEXT(ABS(S4),"#,##0")&amp;" ₽","⚠️ ИЗЛИШЕК "&amp;TEXT(S4,"#,##0")&amp;" ₽")),"")</f>
        <v>✅ ВСЁ ТОЧНО</v>
      </c>
      <c r="U4" s="10"/>
      <c r="V4" s="24" t="str">
        <f>""</f>
        <v/>
      </c>
      <c r="W4" s="31">
        <f>SUM(G4:G34)+SUM(J4:J34)</f>
        <v>473950</v>
      </c>
    </row>
    <row r="5" spans="1:24">
      <c r="A5" s="20">
        <v>46297</v>
      </c>
      <c r="B5" s="9" t="s">
        <v>44</v>
      </c>
      <c r="C5" s="10" t="s">
        <v>6</v>
      </c>
      <c r="D5" s="29">
        <v>15250</v>
      </c>
      <c r="E5" s="29">
        <v>6300</v>
      </c>
      <c r="F5" s="29">
        <v>34545</v>
      </c>
      <c r="G5" s="28">
        <f t="shared" ref="G5:G34" si="2">IF(COUNTA(E5:F5)=0,"",SUM(E5:F5))</f>
        <v>40845</v>
      </c>
      <c r="H5" s="29"/>
      <c r="I5" s="29"/>
      <c r="J5" s="28" t="str">
        <f t="shared" ref="J5:J34" si="3">IF(COUNTA(H5:I5)=0,"",SUM(H5:I5))</f>
        <v/>
      </c>
      <c r="K5" s="29"/>
      <c r="L5" s="29"/>
      <c r="M5" s="29">
        <v>20000</v>
      </c>
      <c r="N5" s="28">
        <f>IF(OR(C5="Ирина",C5="Обе"),Настройки!$B$3+IF(G5="",0,G5)*Настройки!$C$3,0)</f>
        <v>5542.25</v>
      </c>
      <c r="O5" s="28">
        <f>IF(OR(C5="Татьяна",C5="Обе"),Настройки!$B$4+IF(J5="",0,J5)*Настройки!$C$4,0)</f>
        <v>0</v>
      </c>
      <c r="P5" s="29"/>
      <c r="Q5" s="28">
        <f t="shared" ref="Q5:Q32" si="4">IF(A5="","",D5+E5+H5+L5-K5-P5-M5)</f>
        <v>1550</v>
      </c>
      <c r="R5" s="29">
        <v>1550</v>
      </c>
      <c r="S5" s="28">
        <f t="shared" si="0"/>
        <v>0</v>
      </c>
      <c r="T5" s="9" t="str">
        <f t="shared" si="1"/>
        <v>✅ ВСЁ ТОЧНО</v>
      </c>
      <c r="U5" s="10"/>
      <c r="V5" s="24" t="str">
        <f t="shared" ref="V5:V35" si="5">IF(OR(A5="",C5="",R4=""),"",IF(D5=R4,"✅ ОК","⚠️ ПРОВЕРИТЬ"))</f>
        <v>✅ ОК</v>
      </c>
      <c r="W5" s="31">
        <f>AVERAGE(G4:G34,J4:J34)</f>
        <v>33853.571428571428</v>
      </c>
      <c r="X5" s="31">
        <f>W5*31</f>
        <v>1049460.7142857143</v>
      </c>
    </row>
    <row r="6" spans="1:24">
      <c r="A6" s="20">
        <v>46298</v>
      </c>
      <c r="B6" s="9" t="s">
        <v>45</v>
      </c>
      <c r="C6" s="10" t="s">
        <v>7</v>
      </c>
      <c r="D6" s="29">
        <v>1550</v>
      </c>
      <c r="E6" s="29"/>
      <c r="F6" s="29"/>
      <c r="G6" s="28" t="str">
        <f t="shared" si="2"/>
        <v/>
      </c>
      <c r="H6" s="29">
        <v>12000</v>
      </c>
      <c r="I6" s="29">
        <v>12400</v>
      </c>
      <c r="J6" s="28">
        <f t="shared" si="3"/>
        <v>24400</v>
      </c>
      <c r="K6" s="29"/>
      <c r="L6" s="29"/>
      <c r="M6" s="29"/>
      <c r="N6" s="28">
        <f>IF(OR(C6="Ирина",C6="Обе"),Настройки!$B$3+IF(G6="",0,G6)*Настройки!$C$3,0)</f>
        <v>0</v>
      </c>
      <c r="O6" s="28">
        <f>IF(OR(C6="Татьяна",C6="Обе"),Настройки!$B$4+IF(J6="",0,J6)*Настройки!$C$4,0)</f>
        <v>4720</v>
      </c>
      <c r="P6" s="29">
        <v>4720</v>
      </c>
      <c r="Q6" s="28">
        <f>IF(A6="","",D6+E6+H6+L6-K6-P6-M6)</f>
        <v>8830</v>
      </c>
      <c r="R6" s="29">
        <v>8830</v>
      </c>
      <c r="S6" s="28">
        <f t="shared" si="0"/>
        <v>0</v>
      </c>
      <c r="T6" s="9" t="str">
        <f t="shared" si="1"/>
        <v>✅ ВСЁ ТОЧНО</v>
      </c>
      <c r="U6" s="10"/>
      <c r="V6" s="24" t="str">
        <f t="shared" si="5"/>
        <v>✅ ОК</v>
      </c>
    </row>
    <row r="7" spans="1:24">
      <c r="A7" s="20">
        <v>46299</v>
      </c>
      <c r="B7" s="9" t="s">
        <v>46</v>
      </c>
      <c r="C7" s="10" t="s">
        <v>7</v>
      </c>
      <c r="D7" s="29">
        <v>8830</v>
      </c>
      <c r="E7" s="29"/>
      <c r="F7" s="29"/>
      <c r="G7" s="28" t="str">
        <f t="shared" si="2"/>
        <v/>
      </c>
      <c r="H7" s="29">
        <v>17150</v>
      </c>
      <c r="I7" s="29">
        <v>12400</v>
      </c>
      <c r="J7" s="28">
        <f t="shared" si="3"/>
        <v>29550</v>
      </c>
      <c r="K7" s="29"/>
      <c r="L7" s="29"/>
      <c r="M7" s="29"/>
      <c r="N7" s="28">
        <f>IF(OR(C7="Ирина",C7="Обе"),Настройки!$B$3+IF(G7="",0,G7)*Настройки!$C$3,0)</f>
        <v>0</v>
      </c>
      <c r="O7" s="28">
        <f>IF(OR(C7="Татьяна",C7="Обе"),Настройки!$B$4+IF(J7="",0,J7)*Настройки!$C$4,0)</f>
        <v>4977.5</v>
      </c>
      <c r="P7" s="29">
        <v>4980</v>
      </c>
      <c r="Q7" s="28">
        <f t="shared" si="4"/>
        <v>21000</v>
      </c>
      <c r="R7" s="29">
        <v>21000</v>
      </c>
      <c r="S7" s="28">
        <f t="shared" si="0"/>
        <v>0</v>
      </c>
      <c r="T7" s="9" t="str">
        <f t="shared" si="1"/>
        <v>✅ ВСЁ ТОЧНО</v>
      </c>
      <c r="U7" s="10"/>
      <c r="V7" s="24" t="str">
        <f t="shared" si="5"/>
        <v>✅ ОК</v>
      </c>
    </row>
    <row r="8" spans="1:24">
      <c r="A8" s="20">
        <v>46300</v>
      </c>
      <c r="B8" s="9" t="s">
        <v>40</v>
      </c>
      <c r="C8" s="10" t="s">
        <v>6</v>
      </c>
      <c r="D8" s="29">
        <v>21000</v>
      </c>
      <c r="E8" s="29">
        <v>4050</v>
      </c>
      <c r="F8" s="29">
        <v>48740</v>
      </c>
      <c r="G8" s="28">
        <f t="shared" si="2"/>
        <v>52790</v>
      </c>
      <c r="H8" s="29"/>
      <c r="I8" s="29"/>
      <c r="J8" s="28" t="str">
        <f t="shared" si="3"/>
        <v/>
      </c>
      <c r="K8" s="29"/>
      <c r="L8" s="29"/>
      <c r="M8" s="29"/>
      <c r="N8" s="28">
        <f>IF(OR(C8="Ирина",C8="Обе"),Настройки!$B$3+IF(G8="",0,G8)*Настройки!$C$3,0)</f>
        <v>6139.5</v>
      </c>
      <c r="O8" s="28">
        <f>IF(OR(C8="Татьяна",C8="Обе"),Настройки!$B$4+IF(J8="",0,J8)*Настройки!$C$4,0)</f>
        <v>0</v>
      </c>
      <c r="P8" s="29"/>
      <c r="Q8" s="28">
        <f t="shared" si="4"/>
        <v>25050</v>
      </c>
      <c r="R8" s="29">
        <v>25050</v>
      </c>
      <c r="S8" s="28">
        <f>IF(ISNUMBER(R8),R8-Q8,"")</f>
        <v>0</v>
      </c>
      <c r="T8" s="9" t="str">
        <f t="shared" si="1"/>
        <v>✅ ВСЁ ТОЧНО</v>
      </c>
      <c r="U8" s="10"/>
      <c r="V8" s="24" t="str">
        <f t="shared" si="5"/>
        <v>✅ ОК</v>
      </c>
    </row>
    <row r="9" spans="1:24" ht="27.6">
      <c r="A9" s="20">
        <v>46301</v>
      </c>
      <c r="B9" s="9" t="s">
        <v>41</v>
      </c>
      <c r="C9" s="10" t="s">
        <v>6</v>
      </c>
      <c r="D9" s="29">
        <v>25050</v>
      </c>
      <c r="E9" s="29">
        <v>2000</v>
      </c>
      <c r="F9" s="29">
        <v>32025</v>
      </c>
      <c r="G9" s="28">
        <f t="shared" si="2"/>
        <v>34025</v>
      </c>
      <c r="H9" s="29"/>
      <c r="I9" s="29"/>
      <c r="J9" s="28" t="str">
        <f t="shared" si="3"/>
        <v/>
      </c>
      <c r="K9" s="29">
        <v>6800</v>
      </c>
      <c r="L9" s="29"/>
      <c r="M9" s="29"/>
      <c r="N9" s="28">
        <f>IF(OR(C9="Ирина",C9="Обе"),Настройки!$B$3+IF(G9="",0,G9)*Настройки!$C$3,0)</f>
        <v>5201.25</v>
      </c>
      <c r="O9" s="28">
        <f>IF(OR(C9="Татьяна",C9="Обе"),Настройки!$B$4+IF(J9="",0,J9)*Настройки!$C$4,0)</f>
        <v>0</v>
      </c>
      <c r="P9" s="29"/>
      <c r="Q9" s="28">
        <f t="shared" si="4"/>
        <v>20250</v>
      </c>
      <c r="R9" s="29">
        <v>20250</v>
      </c>
      <c r="S9" s="28">
        <f t="shared" si="0"/>
        <v>0</v>
      </c>
      <c r="T9" s="9" t="str">
        <f t="shared" si="1"/>
        <v>✅ ВСЁ ТОЧНО</v>
      </c>
      <c r="U9" s="10" t="s">
        <v>89</v>
      </c>
      <c r="V9" s="24" t="str">
        <f t="shared" si="5"/>
        <v>✅ ОК</v>
      </c>
    </row>
    <row r="10" spans="1:24">
      <c r="A10" s="20">
        <v>46302</v>
      </c>
      <c r="B10" s="9" t="s">
        <v>42</v>
      </c>
      <c r="C10" s="10" t="s">
        <v>6</v>
      </c>
      <c r="D10" s="29">
        <v>20250</v>
      </c>
      <c r="E10" s="29">
        <v>8500</v>
      </c>
      <c r="F10" s="29">
        <v>29915</v>
      </c>
      <c r="G10" s="28">
        <f t="shared" si="2"/>
        <v>38415</v>
      </c>
      <c r="H10" s="29"/>
      <c r="I10" s="29"/>
      <c r="J10" s="28" t="str">
        <f t="shared" si="3"/>
        <v/>
      </c>
      <c r="K10" s="29"/>
      <c r="L10" s="29"/>
      <c r="M10" s="29"/>
      <c r="N10" s="28">
        <f>IF(OR(C10="Ирина",C10="Обе"),Настройки!$B$3+IF(G10="",0,G10)*Настройки!$C$3,0)</f>
        <v>5420.75</v>
      </c>
      <c r="O10" s="28">
        <f>IF(OR(C10="Татьяна",C10="Обе"),Настройки!$B$4+IF(J10="",0,J10)*Настройки!$C$4,0)</f>
        <v>0</v>
      </c>
      <c r="P10" s="29"/>
      <c r="Q10" s="28">
        <f t="shared" si="4"/>
        <v>28750</v>
      </c>
      <c r="R10" s="29">
        <v>28750</v>
      </c>
      <c r="S10" s="28">
        <f t="shared" si="0"/>
        <v>0</v>
      </c>
      <c r="T10" s="9" t="str">
        <f t="shared" si="1"/>
        <v>✅ ВСЁ ТОЧНО</v>
      </c>
      <c r="U10" s="10"/>
      <c r="V10" s="24" t="str">
        <f t="shared" si="5"/>
        <v>✅ ОК</v>
      </c>
    </row>
    <row r="11" spans="1:24">
      <c r="A11" s="20">
        <v>46303</v>
      </c>
      <c r="B11" s="9" t="s">
        <v>43</v>
      </c>
      <c r="C11" s="10" t="s">
        <v>6</v>
      </c>
      <c r="D11" s="29">
        <v>28750</v>
      </c>
      <c r="E11" s="29">
        <v>8030</v>
      </c>
      <c r="F11" s="29">
        <v>26050</v>
      </c>
      <c r="G11" s="28">
        <f t="shared" si="2"/>
        <v>34080</v>
      </c>
      <c r="H11" s="29"/>
      <c r="I11" s="29"/>
      <c r="J11" s="28" t="str">
        <f t="shared" si="3"/>
        <v/>
      </c>
      <c r="K11" s="29">
        <v>9800</v>
      </c>
      <c r="L11" s="29"/>
      <c r="M11" s="29">
        <v>25000</v>
      </c>
      <c r="N11" s="28">
        <f>IF(OR(C11="Ирина",C11="Обе"),Настройки!$B$3+IF(G11="",0,G11)*Настройки!$C$3,0)</f>
        <v>5204</v>
      </c>
      <c r="O11" s="28">
        <f>IF(OR(C11="Татьяна",C11="Обе"),Настройки!$B$4+IF(J11="",0,J11)*Настройки!$C$4,0)</f>
        <v>0</v>
      </c>
      <c r="P11" s="29"/>
      <c r="Q11" s="28">
        <f t="shared" si="4"/>
        <v>1980</v>
      </c>
      <c r="R11" s="29">
        <v>1980</v>
      </c>
      <c r="S11" s="28">
        <f t="shared" si="0"/>
        <v>0</v>
      </c>
      <c r="T11" s="9" t="str">
        <f t="shared" si="1"/>
        <v>✅ ВСЁ ТОЧНО</v>
      </c>
      <c r="U11" s="10" t="s">
        <v>90</v>
      </c>
      <c r="V11" s="24" t="str">
        <f t="shared" si="5"/>
        <v>✅ ОК</v>
      </c>
    </row>
    <row r="12" spans="1:24" ht="27.6">
      <c r="A12" s="20">
        <v>46304</v>
      </c>
      <c r="B12" s="9" t="s">
        <v>44</v>
      </c>
      <c r="C12" s="10" t="s">
        <v>7</v>
      </c>
      <c r="D12" s="29">
        <v>1980</v>
      </c>
      <c r="E12" s="29"/>
      <c r="F12" s="29"/>
      <c r="G12" s="28" t="str">
        <f t="shared" si="2"/>
        <v/>
      </c>
      <c r="H12" s="29">
        <v>7400</v>
      </c>
      <c r="I12" s="29">
        <v>17380</v>
      </c>
      <c r="J12" s="28">
        <f t="shared" si="3"/>
        <v>24780</v>
      </c>
      <c r="K12" s="29">
        <v>950</v>
      </c>
      <c r="L12" s="29"/>
      <c r="M12" s="29">
        <v>825</v>
      </c>
      <c r="N12" s="28">
        <f>IF(OR(C12="Ирина",C12="Обе"),Настройки!$B$3+IF(G12="",0,G12)*Настройки!$C$3,0)</f>
        <v>0</v>
      </c>
      <c r="O12" s="28">
        <f>IF(OR(C12="Татьяна",C12="Обе"),Настройки!$B$4+IF(J12="",0,J12)*Настройки!$C$4,0)</f>
        <v>4739</v>
      </c>
      <c r="P12" s="29">
        <v>4700</v>
      </c>
      <c r="Q12" s="28">
        <f t="shared" si="4"/>
        <v>2905</v>
      </c>
      <c r="R12" s="29">
        <v>2905</v>
      </c>
      <c r="S12" s="28">
        <f t="shared" si="0"/>
        <v>0</v>
      </c>
      <c r="T12" s="9" t="str">
        <f t="shared" si="1"/>
        <v>✅ ВСЁ ТОЧНО</v>
      </c>
      <c r="U12" s="10" t="s">
        <v>91</v>
      </c>
      <c r="V12" s="24" t="str">
        <f t="shared" si="5"/>
        <v>✅ ОК</v>
      </c>
    </row>
    <row r="13" spans="1:24">
      <c r="A13" s="20">
        <v>46305</v>
      </c>
      <c r="B13" s="9" t="s">
        <v>45</v>
      </c>
      <c r="C13" s="10" t="s">
        <v>7</v>
      </c>
      <c r="D13" s="29">
        <v>2905</v>
      </c>
      <c r="E13" s="29"/>
      <c r="F13" s="29"/>
      <c r="G13" s="28" t="str">
        <f t="shared" si="2"/>
        <v/>
      </c>
      <c r="H13" s="29">
        <v>5550</v>
      </c>
      <c r="I13" s="29">
        <v>34545</v>
      </c>
      <c r="J13" s="28">
        <f t="shared" si="3"/>
        <v>40095</v>
      </c>
      <c r="K13" s="29"/>
      <c r="L13" s="29"/>
      <c r="M13" s="29"/>
      <c r="N13" s="28">
        <f>IF(OR(C13="Ирина",C13="Обе"),Настройки!$B$3+IF(G13="",0,G13)*Настройки!$C$3,0)</f>
        <v>0</v>
      </c>
      <c r="O13" s="28">
        <f>IF(OR(C13="Татьяна",C13="Обе"),Настройки!$B$4+IF(J13="",0,J13)*Настройки!$C$4,0)</f>
        <v>5504.75</v>
      </c>
      <c r="P13" s="29">
        <v>5500</v>
      </c>
      <c r="Q13" s="28">
        <f t="shared" si="4"/>
        <v>2955</v>
      </c>
      <c r="R13" s="29">
        <v>2955</v>
      </c>
      <c r="S13" s="28">
        <f t="shared" si="0"/>
        <v>0</v>
      </c>
      <c r="T13" s="9" t="str">
        <f t="shared" si="1"/>
        <v>✅ ВСЁ ТОЧНО</v>
      </c>
      <c r="U13" s="10"/>
      <c r="V13" s="24" t="str">
        <f>IF(OR(A13="",C13="",R12=""),"",IF(D13=R12,"✅ ОК","⚠️ ПРОВЕРИТЬ"))</f>
        <v>✅ ОК</v>
      </c>
    </row>
    <row r="14" spans="1:24" ht="27.6">
      <c r="A14" s="20">
        <v>46306</v>
      </c>
      <c r="B14" s="9" t="s">
        <v>46</v>
      </c>
      <c r="C14" s="10" t="s">
        <v>6</v>
      </c>
      <c r="D14" s="29">
        <v>2955</v>
      </c>
      <c r="E14" s="29">
        <v>3430</v>
      </c>
      <c r="F14" s="29">
        <v>23455</v>
      </c>
      <c r="G14" s="28">
        <f t="shared" si="2"/>
        <v>26885</v>
      </c>
      <c r="H14" s="29"/>
      <c r="I14" s="29"/>
      <c r="J14" s="28" t="str">
        <f t="shared" si="3"/>
        <v/>
      </c>
      <c r="K14" s="29"/>
      <c r="L14" s="29"/>
      <c r="M14" s="29"/>
      <c r="N14" s="28">
        <f>IF(OR(C14="Ирина",C14="Обе"),Настройки!$B$3+IF(G14="",0,G14)*Настройки!$C$3,0)</f>
        <v>4844.25</v>
      </c>
      <c r="O14" s="28">
        <f>IF(OR(C14="Татьяна",C14="Обе"),Настройки!$B$4+IF(J14="",0,J14)*Настройки!$C$4,0)</f>
        <v>0</v>
      </c>
      <c r="P14" s="29">
        <v>5000</v>
      </c>
      <c r="Q14" s="28">
        <f t="shared" si="4"/>
        <v>1385</v>
      </c>
      <c r="R14" s="29">
        <v>1335</v>
      </c>
      <c r="S14" s="28">
        <f t="shared" si="0"/>
        <v>-50</v>
      </c>
      <c r="T14" s="9" t="str">
        <f t="shared" si="1"/>
        <v>❌ НЕДОСТАЧА 50,0 ₽</v>
      </c>
      <c r="U14" s="10"/>
      <c r="V14" s="24" t="str">
        <f>IF(OR(A14="",C14="",R13=""),"",IF(D14=R13,"✅ ОК","⚠️ ПРОВЕРИТЬ"))</f>
        <v>✅ ОК</v>
      </c>
    </row>
    <row r="15" spans="1:24">
      <c r="A15" s="20">
        <v>46307</v>
      </c>
      <c r="B15" s="9" t="s">
        <v>40</v>
      </c>
      <c r="C15" s="10" t="s">
        <v>6</v>
      </c>
      <c r="D15" s="29">
        <v>2905</v>
      </c>
      <c r="E15" s="29">
        <v>0</v>
      </c>
      <c r="F15" s="29">
        <v>31250</v>
      </c>
      <c r="G15" s="28">
        <f t="shared" si="2"/>
        <v>31250</v>
      </c>
      <c r="H15" s="29"/>
      <c r="I15" s="29"/>
      <c r="J15" s="28" t="str">
        <f t="shared" si="3"/>
        <v/>
      </c>
      <c r="K15" s="29"/>
      <c r="L15" s="29"/>
      <c r="M15" s="29"/>
      <c r="N15" s="28">
        <f>IF(OR(C15="Ирина",C15="Обе"),Настройки!$B$3+IF(G15="",0,G15)*Настройки!$C$3,0)</f>
        <v>5062.5</v>
      </c>
      <c r="O15" s="28">
        <f>IF(OR(C15="Татьяна",C15="Обе"),Настройки!$B$4+IF(J15="",0,J15)*Настройки!$C$4,0)</f>
        <v>0</v>
      </c>
      <c r="P15" s="29"/>
      <c r="Q15" s="28">
        <f t="shared" si="4"/>
        <v>2905</v>
      </c>
      <c r="R15" s="29">
        <v>2905</v>
      </c>
      <c r="S15" s="28">
        <f>IF(ISNUMBER(R15),R15-Q15,"")</f>
        <v>0</v>
      </c>
      <c r="T15" s="9" t="str">
        <f t="shared" si="1"/>
        <v>✅ ВСЁ ТОЧНО</v>
      </c>
      <c r="U15" s="10"/>
      <c r="V15" s="24" t="str">
        <f>IF(OR(A15="",C15="",R14=""),"",IF(D15=R14,"✅ ОК","⚠️ ПРОВЕРИТЬ"))</f>
        <v>⚠️ ПРОВЕРИТЬ</v>
      </c>
    </row>
    <row r="16" spans="1:24" ht="27.6">
      <c r="A16" s="20">
        <v>46308</v>
      </c>
      <c r="B16" s="9" t="s">
        <v>41</v>
      </c>
      <c r="C16" s="10" t="s">
        <v>6</v>
      </c>
      <c r="D16" s="29">
        <v>2905</v>
      </c>
      <c r="E16" s="29">
        <v>13020</v>
      </c>
      <c r="F16" s="29">
        <v>27618</v>
      </c>
      <c r="G16" s="28">
        <f t="shared" si="2"/>
        <v>40638</v>
      </c>
      <c r="H16" s="29"/>
      <c r="I16" s="29"/>
      <c r="J16" s="28" t="str">
        <f t="shared" si="3"/>
        <v/>
      </c>
      <c r="K16" s="29"/>
      <c r="L16" s="29"/>
      <c r="M16" s="29"/>
      <c r="N16" s="28">
        <f>IF(OR(C16="Ирина",C16="Обе"),Настройки!$B$3+IF(G16="",0,G16)*Настройки!$C$3,0)</f>
        <v>5531.9</v>
      </c>
      <c r="O16" s="28">
        <f>IF(OR(C16="Татьяна",C16="Обе"),Настройки!$B$4+IF(J16="",0,J16)*Настройки!$C$4,0)</f>
        <v>0</v>
      </c>
      <c r="P16" s="29">
        <v>5550</v>
      </c>
      <c r="Q16" s="28">
        <f t="shared" si="4"/>
        <v>10375</v>
      </c>
      <c r="R16" s="29">
        <v>15925</v>
      </c>
      <c r="S16" s="28">
        <f t="shared" si="0"/>
        <v>5550</v>
      </c>
      <c r="T16" s="9" t="str">
        <f t="shared" si="1"/>
        <v>⚠️ ИЗЛИШЕК 5550,0 ₽</v>
      </c>
      <c r="U16" s="10"/>
      <c r="V16" s="24" t="str">
        <f t="shared" si="5"/>
        <v>✅ ОК</v>
      </c>
    </row>
    <row r="17" spans="1:22">
      <c r="A17" s="20">
        <v>46309</v>
      </c>
      <c r="B17" s="9" t="s">
        <v>42</v>
      </c>
      <c r="C17" s="10" t="s">
        <v>6</v>
      </c>
      <c r="D17" s="29">
        <v>15925</v>
      </c>
      <c r="E17" s="29">
        <v>0</v>
      </c>
      <c r="F17" s="29">
        <v>20607</v>
      </c>
      <c r="G17" s="28">
        <f t="shared" si="2"/>
        <v>20607</v>
      </c>
      <c r="H17" s="29"/>
      <c r="I17" s="29"/>
      <c r="J17" s="28" t="str">
        <f t="shared" si="3"/>
        <v/>
      </c>
      <c r="K17" s="29"/>
      <c r="L17" s="29"/>
      <c r="M17" s="29"/>
      <c r="N17" s="28">
        <f>IF(OR(C17="Ирина",C17="Обе"),Настройки!$B$3+IF(G17="",0,G17)*Настройки!$C$3,0)</f>
        <v>4530.3500000000004</v>
      </c>
      <c r="O17" s="28">
        <f>IF(OR(C17="Татьяна",C17="Обе"),Настройки!$B$4+IF(J17="",0,J17)*Настройки!$C$4,0)</f>
        <v>0</v>
      </c>
      <c r="P17" s="29"/>
      <c r="Q17" s="28">
        <f t="shared" si="4"/>
        <v>15925</v>
      </c>
      <c r="R17" s="29">
        <v>15925</v>
      </c>
      <c r="S17" s="28">
        <f t="shared" si="0"/>
        <v>0</v>
      </c>
      <c r="T17" s="9" t="str">
        <f t="shared" si="1"/>
        <v>✅ ВСЁ ТОЧНО</v>
      </c>
      <c r="U17" s="10"/>
      <c r="V17" s="24" t="str">
        <f t="shared" si="5"/>
        <v>✅ ОК</v>
      </c>
    </row>
    <row r="18" spans="1:22">
      <c r="A18" s="20">
        <v>46310</v>
      </c>
      <c r="B18" s="9" t="s">
        <v>43</v>
      </c>
      <c r="C18" s="10" t="s">
        <v>6</v>
      </c>
      <c r="D18" s="29">
        <v>15925</v>
      </c>
      <c r="E18" s="29"/>
      <c r="F18" s="29"/>
      <c r="G18" s="28" t="str">
        <f t="shared" si="2"/>
        <v/>
      </c>
      <c r="H18" s="29"/>
      <c r="I18" s="29"/>
      <c r="J18" s="28" t="str">
        <f t="shared" si="3"/>
        <v/>
      </c>
      <c r="K18" s="29"/>
      <c r="L18" s="29"/>
      <c r="M18" s="29"/>
      <c r="N18" s="28">
        <f>IF(OR(C18="Ирина",C18="Обе"),Настройки!$B$3+IF(G18="",0,G18)*Настройки!$C$3,0)</f>
        <v>3500</v>
      </c>
      <c r="O18" s="28">
        <f>IF(OR(C18="Татьяна",C18="Обе"),Настройки!$B$4+IF(J18="",0,J18)*Настройки!$C$4,0)</f>
        <v>0</v>
      </c>
      <c r="P18" s="29"/>
      <c r="Q18" s="28">
        <f t="shared" si="4"/>
        <v>15925</v>
      </c>
      <c r="R18" s="29"/>
      <c r="S18" s="28" t="str">
        <f t="shared" si="0"/>
        <v/>
      </c>
      <c r="T18" s="9" t="str">
        <f t="shared" si="1"/>
        <v/>
      </c>
      <c r="U18" s="10"/>
      <c r="V18" s="24" t="str">
        <f t="shared" si="5"/>
        <v>✅ ОК</v>
      </c>
    </row>
    <row r="19" spans="1:22">
      <c r="A19" s="20">
        <v>46311</v>
      </c>
      <c r="B19" s="9" t="s">
        <v>44</v>
      </c>
      <c r="C19" s="10" t="s">
        <v>7</v>
      </c>
      <c r="D19" s="29"/>
      <c r="E19" s="29"/>
      <c r="F19" s="29"/>
      <c r="G19" s="28" t="str">
        <f t="shared" si="2"/>
        <v/>
      </c>
      <c r="H19" s="29"/>
      <c r="I19" s="29"/>
      <c r="J19" s="28" t="str">
        <f t="shared" si="3"/>
        <v/>
      </c>
      <c r="K19" s="29"/>
      <c r="L19" s="29"/>
      <c r="M19" s="29"/>
      <c r="N19" s="28">
        <f>IF(OR(C19="Ирина",C19="Обе"),Настройки!$B$3+IF(G19="",0,G19)*Настройки!$C$3,0)</f>
        <v>0</v>
      </c>
      <c r="O19" s="28">
        <f>IF(OR(C19="Татьяна",C19="Обе"),Настройки!$B$4+IF(J19="",0,J19)*Настройки!$C$4,0)</f>
        <v>3500</v>
      </c>
      <c r="P19" s="29"/>
      <c r="Q19" s="28">
        <f t="shared" si="4"/>
        <v>0</v>
      </c>
      <c r="R19" s="29"/>
      <c r="S19" s="28" t="str">
        <f t="shared" si="0"/>
        <v/>
      </c>
      <c r="T19" s="9" t="str">
        <f t="shared" si="1"/>
        <v/>
      </c>
      <c r="U19" s="10"/>
      <c r="V19" s="24" t="str">
        <f t="shared" si="5"/>
        <v/>
      </c>
    </row>
    <row r="20" spans="1:22">
      <c r="A20" s="20">
        <v>46312</v>
      </c>
      <c r="B20" s="9" t="s">
        <v>45</v>
      </c>
      <c r="C20" s="10" t="s">
        <v>6</v>
      </c>
      <c r="D20" s="29"/>
      <c r="E20" s="29"/>
      <c r="F20" s="29"/>
      <c r="G20" s="28" t="str">
        <f t="shared" si="2"/>
        <v/>
      </c>
      <c r="H20" s="29"/>
      <c r="I20" s="29"/>
      <c r="J20" s="28" t="str">
        <f t="shared" si="3"/>
        <v/>
      </c>
      <c r="K20" s="29"/>
      <c r="L20" s="29"/>
      <c r="M20" s="29"/>
      <c r="N20" s="28">
        <f>IF(OR(C20="Ирина",C20="Обе"),Настройки!$B$3+IF(G20="",0,G20)*Настройки!$C$3,0)</f>
        <v>3500</v>
      </c>
      <c r="O20" s="28">
        <f>IF(OR(C20="Татьяна",C20="Обе"),Настройки!$B$4+IF(J20="",0,J20)*Настройки!$C$4,0)</f>
        <v>0</v>
      </c>
      <c r="P20" s="29"/>
      <c r="Q20" s="28">
        <f t="shared" si="4"/>
        <v>0</v>
      </c>
      <c r="R20" s="29"/>
      <c r="S20" s="28" t="str">
        <f t="shared" si="0"/>
        <v/>
      </c>
      <c r="T20" s="9" t="str">
        <f t="shared" si="1"/>
        <v/>
      </c>
      <c r="U20" s="10"/>
      <c r="V20" s="24" t="str">
        <f t="shared" si="5"/>
        <v/>
      </c>
    </row>
    <row r="21" spans="1:22">
      <c r="A21" s="20">
        <v>46313</v>
      </c>
      <c r="B21" s="9" t="s">
        <v>46</v>
      </c>
      <c r="C21" s="10" t="s">
        <v>6</v>
      </c>
      <c r="D21" s="29"/>
      <c r="E21" s="29"/>
      <c r="F21" s="29"/>
      <c r="G21" s="28" t="str">
        <f t="shared" si="2"/>
        <v/>
      </c>
      <c r="H21" s="29"/>
      <c r="I21" s="29"/>
      <c r="J21" s="28" t="str">
        <f t="shared" si="3"/>
        <v/>
      </c>
      <c r="K21" s="29"/>
      <c r="L21" s="29"/>
      <c r="M21" s="29"/>
      <c r="N21" s="28">
        <f>IF(OR(C21="Ирина",C21="Обе"),Настройки!$B$3+IF(G21="",0,G21)*Настройки!$C$3,0)</f>
        <v>3500</v>
      </c>
      <c r="O21" s="28">
        <f>IF(OR(C21="Татьяна",C21="Обе"),Настройки!$B$4+IF(J21="",0,J21)*Настройки!$C$4,0)</f>
        <v>0</v>
      </c>
      <c r="P21" s="29"/>
      <c r="Q21" s="28">
        <f t="shared" si="4"/>
        <v>0</v>
      </c>
      <c r="R21" s="29"/>
      <c r="S21" s="28" t="str">
        <f t="shared" si="0"/>
        <v/>
      </c>
      <c r="T21" s="9" t="str">
        <f t="shared" si="1"/>
        <v/>
      </c>
      <c r="U21" s="10"/>
      <c r="V21" s="24" t="str">
        <f t="shared" si="5"/>
        <v/>
      </c>
    </row>
    <row r="22" spans="1:22">
      <c r="A22" s="20">
        <v>46314</v>
      </c>
      <c r="B22" s="9" t="s">
        <v>40</v>
      </c>
      <c r="C22" s="10" t="s">
        <v>6</v>
      </c>
      <c r="D22" s="29"/>
      <c r="E22" s="29"/>
      <c r="F22" s="29"/>
      <c r="G22" s="28" t="str">
        <f t="shared" si="2"/>
        <v/>
      </c>
      <c r="H22" s="29"/>
      <c r="I22" s="29"/>
      <c r="J22" s="28" t="str">
        <f t="shared" si="3"/>
        <v/>
      </c>
      <c r="K22" s="29"/>
      <c r="L22" s="29"/>
      <c r="M22" s="29"/>
      <c r="N22" s="28">
        <f>IF(OR(C22="Ирина",C22="Обе"),Настройки!$B$3+IF(G22="",0,G22)*Настройки!$C$3,0)</f>
        <v>3500</v>
      </c>
      <c r="O22" s="28">
        <f>IF(OR(C22="Татьяна",C22="Обе"),Настройки!$B$4+IF(J22="",0,J22)*Настройки!$C$4,0)</f>
        <v>0</v>
      </c>
      <c r="P22" s="29"/>
      <c r="Q22" s="28">
        <f t="shared" si="4"/>
        <v>0</v>
      </c>
      <c r="R22" s="29"/>
      <c r="S22" s="28" t="str">
        <f t="shared" si="0"/>
        <v/>
      </c>
      <c r="T22" s="9" t="str">
        <f t="shared" si="1"/>
        <v/>
      </c>
      <c r="U22" s="10"/>
      <c r="V22" s="24" t="str">
        <f t="shared" si="5"/>
        <v/>
      </c>
    </row>
    <row r="23" spans="1:22">
      <c r="A23" s="20">
        <v>46315</v>
      </c>
      <c r="B23" s="9" t="s">
        <v>41</v>
      </c>
      <c r="C23" s="10" t="s">
        <v>6</v>
      </c>
      <c r="D23" s="29"/>
      <c r="E23" s="29"/>
      <c r="F23" s="29"/>
      <c r="G23" s="28" t="str">
        <f t="shared" si="2"/>
        <v/>
      </c>
      <c r="H23" s="29"/>
      <c r="I23" s="29"/>
      <c r="J23" s="28" t="str">
        <f t="shared" si="3"/>
        <v/>
      </c>
      <c r="K23" s="29"/>
      <c r="L23" s="29"/>
      <c r="M23" s="29"/>
      <c r="N23" s="28">
        <f>IF(OR(C23="Ирина",C23="Обе"),Настройки!$B$3+IF(G23="",0,G23)*Настройки!$C$3,0)</f>
        <v>3500</v>
      </c>
      <c r="O23" s="28">
        <f>IF(OR(C23="Татьяна",C23="Обе"),Настройки!$B$4+IF(J23="",0,J23)*Настройки!$C$4,0)</f>
        <v>0</v>
      </c>
      <c r="P23" s="29"/>
      <c r="Q23" s="28">
        <f t="shared" si="4"/>
        <v>0</v>
      </c>
      <c r="R23" s="29"/>
      <c r="S23" s="28" t="str">
        <f t="shared" si="0"/>
        <v/>
      </c>
      <c r="T23" s="9" t="str">
        <f t="shared" si="1"/>
        <v/>
      </c>
      <c r="U23" s="10"/>
      <c r="V23" s="24" t="str">
        <f t="shared" si="5"/>
        <v/>
      </c>
    </row>
    <row r="24" spans="1:22">
      <c r="A24" s="20">
        <v>46316</v>
      </c>
      <c r="B24" s="9" t="s">
        <v>42</v>
      </c>
      <c r="C24" s="10" t="s">
        <v>6</v>
      </c>
      <c r="D24" s="29"/>
      <c r="E24" s="29"/>
      <c r="F24" s="29"/>
      <c r="G24" s="28" t="str">
        <f t="shared" si="2"/>
        <v/>
      </c>
      <c r="H24" s="29"/>
      <c r="I24" s="29"/>
      <c r="J24" s="28" t="str">
        <f t="shared" si="3"/>
        <v/>
      </c>
      <c r="K24" s="29"/>
      <c r="L24" s="29"/>
      <c r="M24" s="29"/>
      <c r="N24" s="28">
        <f>IF(OR(C24="Ирина",C24="Обе"),Настройки!$B$3+IF(G24="",0,G24)*Настройки!$C$3,0)</f>
        <v>3500</v>
      </c>
      <c r="O24" s="28">
        <f>IF(OR(C24="Татьяна",C24="Обе"),Настройки!$B$4+IF(J24="",0,J24)*Настройки!$C$4,0)</f>
        <v>0</v>
      </c>
      <c r="P24" s="29"/>
      <c r="Q24" s="28">
        <f t="shared" si="4"/>
        <v>0</v>
      </c>
      <c r="R24" s="29"/>
      <c r="S24" s="28" t="str">
        <f t="shared" si="0"/>
        <v/>
      </c>
      <c r="T24" s="9" t="str">
        <f t="shared" si="1"/>
        <v/>
      </c>
      <c r="U24" s="10"/>
      <c r="V24" s="24" t="str">
        <f t="shared" si="5"/>
        <v/>
      </c>
    </row>
    <row r="25" spans="1:22">
      <c r="A25" s="20">
        <v>46317</v>
      </c>
      <c r="B25" s="9" t="s">
        <v>43</v>
      </c>
      <c r="C25" s="10" t="s">
        <v>6</v>
      </c>
      <c r="D25" s="29"/>
      <c r="E25" s="29"/>
      <c r="F25" s="29"/>
      <c r="G25" s="28" t="str">
        <f t="shared" si="2"/>
        <v/>
      </c>
      <c r="H25" s="29"/>
      <c r="I25" s="29"/>
      <c r="J25" s="28" t="str">
        <f t="shared" si="3"/>
        <v/>
      </c>
      <c r="K25" s="29"/>
      <c r="L25" s="29"/>
      <c r="M25" s="29"/>
      <c r="N25" s="28">
        <f>IF(OR(C25="Ирина",C25="Обе"),Настройки!$B$3+IF(G25="",0,G25)*Настройки!$C$3,0)</f>
        <v>3500</v>
      </c>
      <c r="O25" s="28">
        <f>IF(OR(C25="Татьяна",C25="Обе"),Настройки!$B$4+IF(J25="",0,J25)*Настройки!$C$4,0)</f>
        <v>0</v>
      </c>
      <c r="P25" s="29"/>
      <c r="Q25" s="28">
        <f t="shared" si="4"/>
        <v>0</v>
      </c>
      <c r="R25" s="29"/>
      <c r="S25" s="28" t="str">
        <f t="shared" si="0"/>
        <v/>
      </c>
      <c r="T25" s="9" t="str">
        <f t="shared" si="1"/>
        <v/>
      </c>
      <c r="U25" s="10"/>
      <c r="V25" s="24" t="str">
        <f t="shared" si="5"/>
        <v/>
      </c>
    </row>
    <row r="26" spans="1:22">
      <c r="A26" s="20">
        <v>46318</v>
      </c>
      <c r="B26" s="9" t="s">
        <v>44</v>
      </c>
      <c r="C26" s="10" t="s">
        <v>6</v>
      </c>
      <c r="D26" s="29"/>
      <c r="E26" s="29"/>
      <c r="F26" s="29"/>
      <c r="G26" s="28" t="str">
        <f t="shared" si="2"/>
        <v/>
      </c>
      <c r="H26" s="29"/>
      <c r="I26" s="29"/>
      <c r="J26" s="28" t="str">
        <f t="shared" si="3"/>
        <v/>
      </c>
      <c r="K26" s="29"/>
      <c r="L26" s="29"/>
      <c r="M26" s="29"/>
      <c r="N26" s="28">
        <f>IF(OR(C26="Ирина",C26="Обе"),Настройки!$B$3+IF(G26="",0,G26)*Настройки!$C$3,0)</f>
        <v>3500</v>
      </c>
      <c r="O26" s="28">
        <f>IF(OR(C26="Татьяна",C26="Обе"),Настройки!$B$4+IF(J26="",0,J26)*Настройки!$C$4,0)</f>
        <v>0</v>
      </c>
      <c r="P26" s="29"/>
      <c r="Q26" s="28">
        <f t="shared" si="4"/>
        <v>0</v>
      </c>
      <c r="R26" s="29"/>
      <c r="S26" s="28" t="str">
        <f t="shared" si="0"/>
        <v/>
      </c>
      <c r="T26" s="9" t="str">
        <f t="shared" si="1"/>
        <v/>
      </c>
      <c r="U26" s="10"/>
      <c r="V26" s="24" t="str">
        <f t="shared" si="5"/>
        <v/>
      </c>
    </row>
    <row r="27" spans="1:22">
      <c r="A27" s="20">
        <v>46319</v>
      </c>
      <c r="B27" s="9" t="s">
        <v>45</v>
      </c>
      <c r="C27" s="10" t="s">
        <v>6</v>
      </c>
      <c r="D27" s="29"/>
      <c r="E27" s="29"/>
      <c r="F27" s="29"/>
      <c r="G27" s="28" t="str">
        <f t="shared" si="2"/>
        <v/>
      </c>
      <c r="H27" s="29"/>
      <c r="I27" s="29"/>
      <c r="J27" s="28" t="str">
        <f t="shared" si="3"/>
        <v/>
      </c>
      <c r="K27" s="29"/>
      <c r="L27" s="29"/>
      <c r="M27" s="29"/>
      <c r="N27" s="28">
        <f>IF(OR(C27="Ирина",C27="Обе"),Настройки!$B$3+IF(G27="",0,G27)*Настройки!$C$3,0)</f>
        <v>3500</v>
      </c>
      <c r="O27" s="28">
        <f>IF(OR(C27="Татьяна",C27="Обе"),Настройки!$B$4+IF(J27="",0,J27)*Настройки!$C$4,0)</f>
        <v>0</v>
      </c>
      <c r="P27" s="29"/>
      <c r="Q27" s="28">
        <f t="shared" si="4"/>
        <v>0</v>
      </c>
      <c r="R27" s="29"/>
      <c r="S27" s="28" t="str">
        <f t="shared" si="0"/>
        <v/>
      </c>
      <c r="T27" s="9" t="str">
        <f t="shared" si="1"/>
        <v/>
      </c>
      <c r="U27" s="10"/>
      <c r="V27" s="24" t="str">
        <f t="shared" si="5"/>
        <v/>
      </c>
    </row>
    <row r="28" spans="1:22">
      <c r="A28" s="20">
        <v>46320</v>
      </c>
      <c r="B28" s="9" t="s">
        <v>46</v>
      </c>
      <c r="C28" s="10" t="s">
        <v>6</v>
      </c>
      <c r="D28" s="29"/>
      <c r="E28" s="29"/>
      <c r="F28" s="29"/>
      <c r="G28" s="28" t="str">
        <f t="shared" si="2"/>
        <v/>
      </c>
      <c r="H28" s="29"/>
      <c r="I28" s="29"/>
      <c r="J28" s="28" t="str">
        <f t="shared" si="3"/>
        <v/>
      </c>
      <c r="K28" s="29"/>
      <c r="L28" s="29"/>
      <c r="M28" s="29"/>
      <c r="N28" s="28">
        <f>IF(OR(C28="Ирина",C28="Обе"),Настройки!$B$3+IF(G28="",0,G28)*Настройки!$C$3,0)</f>
        <v>3500</v>
      </c>
      <c r="O28" s="28">
        <f>IF(OR(C28="Татьяна",C28="Обе"),Настройки!$B$4+IF(J28="",0,J28)*Настройки!$C$4,0)</f>
        <v>0</v>
      </c>
      <c r="P28" s="29"/>
      <c r="Q28" s="28">
        <f t="shared" si="4"/>
        <v>0</v>
      </c>
      <c r="R28" s="29"/>
      <c r="S28" s="28" t="str">
        <f t="shared" si="0"/>
        <v/>
      </c>
      <c r="T28" s="9" t="str">
        <f t="shared" si="1"/>
        <v/>
      </c>
      <c r="U28" s="10"/>
      <c r="V28" s="24" t="str">
        <f t="shared" si="5"/>
        <v/>
      </c>
    </row>
    <row r="29" spans="1:22">
      <c r="A29" s="20">
        <v>46321</v>
      </c>
      <c r="B29" s="9" t="s">
        <v>40</v>
      </c>
      <c r="C29" s="10" t="s">
        <v>6</v>
      </c>
      <c r="D29" s="29"/>
      <c r="E29" s="29"/>
      <c r="F29" s="29"/>
      <c r="G29" s="28" t="str">
        <f t="shared" si="2"/>
        <v/>
      </c>
      <c r="H29" s="29"/>
      <c r="I29" s="29"/>
      <c r="J29" s="28" t="str">
        <f t="shared" si="3"/>
        <v/>
      </c>
      <c r="K29" s="29"/>
      <c r="L29" s="29"/>
      <c r="M29" s="29"/>
      <c r="N29" s="28">
        <f>IF(OR(C29="Ирина",C29="Обе"),Настройки!$B$3+IF(G29="",0,G29)*Настройки!$C$3,0)</f>
        <v>3500</v>
      </c>
      <c r="O29" s="28">
        <f>IF(OR(C29="Татьяна",C29="Обе"),Настройки!$B$4+IF(J29="",0,J29)*Настройки!$C$4,0)</f>
        <v>0</v>
      </c>
      <c r="P29" s="29"/>
      <c r="Q29" s="28">
        <f t="shared" si="4"/>
        <v>0</v>
      </c>
      <c r="R29" s="29"/>
      <c r="S29" s="28" t="str">
        <f t="shared" si="0"/>
        <v/>
      </c>
      <c r="T29" s="9" t="str">
        <f t="shared" si="1"/>
        <v/>
      </c>
      <c r="U29" s="10"/>
      <c r="V29" s="24" t="str">
        <f t="shared" si="5"/>
        <v/>
      </c>
    </row>
    <row r="30" spans="1:22">
      <c r="A30" s="20">
        <v>46322</v>
      </c>
      <c r="B30" s="9" t="s">
        <v>41</v>
      </c>
      <c r="C30" s="10" t="s">
        <v>7</v>
      </c>
      <c r="D30" s="29"/>
      <c r="E30" s="29"/>
      <c r="F30" s="29"/>
      <c r="G30" s="28" t="str">
        <f t="shared" si="2"/>
        <v/>
      </c>
      <c r="H30" s="29"/>
      <c r="I30" s="29"/>
      <c r="J30" s="28" t="str">
        <f t="shared" si="3"/>
        <v/>
      </c>
      <c r="K30" s="29"/>
      <c r="L30" s="29"/>
      <c r="M30" s="29"/>
      <c r="N30" s="28">
        <f>IF(OR(C30="Ирина",C30="Обе"),Настройки!$B$3+IF(G30="",0,G30)*Настройки!$C$3,0)</f>
        <v>0</v>
      </c>
      <c r="O30" s="28">
        <f>IF(OR(C30="Татьяна",C30="Обе"),Настройки!$B$4+IF(J30="",0,J30)*Настройки!$C$4,0)</f>
        <v>3500</v>
      </c>
      <c r="P30" s="29"/>
      <c r="Q30" s="28">
        <f t="shared" si="4"/>
        <v>0</v>
      </c>
      <c r="R30" s="29"/>
      <c r="S30" s="28" t="str">
        <f t="shared" si="0"/>
        <v/>
      </c>
      <c r="T30" s="9" t="str">
        <f t="shared" si="1"/>
        <v/>
      </c>
      <c r="U30" s="10"/>
      <c r="V30" s="24" t="str">
        <f t="shared" si="5"/>
        <v/>
      </c>
    </row>
    <row r="31" spans="1:22">
      <c r="A31" s="20">
        <v>46323</v>
      </c>
      <c r="B31" s="9" t="s">
        <v>42</v>
      </c>
      <c r="C31" s="10" t="s">
        <v>7</v>
      </c>
      <c r="D31" s="29"/>
      <c r="E31" s="29"/>
      <c r="F31" s="29"/>
      <c r="G31" s="28" t="str">
        <f t="shared" si="2"/>
        <v/>
      </c>
      <c r="H31" s="29"/>
      <c r="I31" s="29"/>
      <c r="J31" s="28" t="str">
        <f t="shared" si="3"/>
        <v/>
      </c>
      <c r="K31" s="29"/>
      <c r="L31" s="29"/>
      <c r="M31" s="29"/>
      <c r="N31" s="28">
        <f>IF(OR(C31="Ирина",C31="Обе"),Настройки!$B$3+IF(G31="",0,G31)*Настройки!$C$3,0)</f>
        <v>0</v>
      </c>
      <c r="O31" s="28">
        <f>IF(OR(C31="Татьяна",C31="Обе"),Настройки!$B$4+IF(J31="",0,J31)*Настройки!$C$4,0)</f>
        <v>3500</v>
      </c>
      <c r="P31" s="29"/>
      <c r="Q31" s="28">
        <f t="shared" si="4"/>
        <v>0</v>
      </c>
      <c r="R31" s="29"/>
      <c r="S31" s="28" t="str">
        <f t="shared" si="0"/>
        <v/>
      </c>
      <c r="T31" s="9" t="str">
        <f t="shared" si="1"/>
        <v/>
      </c>
      <c r="U31" s="10"/>
      <c r="V31" s="24" t="str">
        <f t="shared" si="5"/>
        <v/>
      </c>
    </row>
    <row r="32" spans="1:22">
      <c r="A32" s="20">
        <v>46324</v>
      </c>
      <c r="B32" s="9" t="s">
        <v>43</v>
      </c>
      <c r="C32" s="10" t="s">
        <v>6</v>
      </c>
      <c r="D32" s="29"/>
      <c r="E32" s="29"/>
      <c r="F32" s="29"/>
      <c r="G32" s="28" t="str">
        <f t="shared" si="2"/>
        <v/>
      </c>
      <c r="H32" s="29"/>
      <c r="I32" s="29"/>
      <c r="J32" s="28" t="str">
        <f t="shared" si="3"/>
        <v/>
      </c>
      <c r="K32" s="29"/>
      <c r="L32" s="29"/>
      <c r="M32" s="29"/>
      <c r="N32" s="28">
        <f>IF(OR(C32="Ирина",C32="Обе"),Настройки!$B$3+IF(G32="",0,G32)*Настройки!$C$3,0)</f>
        <v>3500</v>
      </c>
      <c r="O32" s="28">
        <f>IF(OR(C32="Татьяна",C32="Обе"),Настройки!$B$4+IF(J32="",0,J32)*Настройки!$C$4,0)</f>
        <v>0</v>
      </c>
      <c r="P32" s="29"/>
      <c r="Q32" s="28">
        <f t="shared" si="4"/>
        <v>0</v>
      </c>
      <c r="R32" s="29"/>
      <c r="S32" s="28" t="str">
        <f t="shared" si="0"/>
        <v/>
      </c>
      <c r="T32" s="9" t="str">
        <f t="shared" si="1"/>
        <v/>
      </c>
      <c r="U32" s="10"/>
      <c r="V32" s="24" t="str">
        <f t="shared" si="5"/>
        <v/>
      </c>
    </row>
    <row r="33" spans="1:22">
      <c r="A33" s="20">
        <v>46325</v>
      </c>
      <c r="B33" s="9" t="s">
        <v>44</v>
      </c>
      <c r="C33" s="10" t="s">
        <v>6</v>
      </c>
      <c r="D33" s="29"/>
      <c r="E33" s="29"/>
      <c r="F33" s="29"/>
      <c r="G33" s="28" t="str">
        <f t="shared" si="2"/>
        <v/>
      </c>
      <c r="H33" s="29"/>
      <c r="I33" s="29"/>
      <c r="J33" s="28" t="str">
        <f t="shared" si="3"/>
        <v/>
      </c>
      <c r="K33" s="29"/>
      <c r="L33" s="29"/>
      <c r="M33" s="29"/>
      <c r="N33" s="28">
        <f>IF(OR(C33="Ирина",C33="Обе"),Настройки!$B$3+IF(G33="",0,G33)*Настройки!$C$3,0)</f>
        <v>3500</v>
      </c>
      <c r="O33" s="28">
        <f>IF(OR(C33="Татьяна",C33="Обе"),Настройки!$B$4+IF(J33="",0,J33)*Настройки!$C$4,0)</f>
        <v>0</v>
      </c>
      <c r="P33" s="29"/>
      <c r="Q33" s="28">
        <f t="shared" ref="Q33:Q34" si="6">IF(A33="","",D33+E33+H33+L33-K33-P33-M33)</f>
        <v>0</v>
      </c>
      <c r="R33" s="29"/>
      <c r="S33" s="28" t="str">
        <f t="shared" si="0"/>
        <v/>
      </c>
      <c r="T33" s="9" t="str">
        <f t="shared" si="1"/>
        <v/>
      </c>
      <c r="U33" s="10"/>
      <c r="V33" s="24" t="str">
        <f t="shared" si="5"/>
        <v/>
      </c>
    </row>
    <row r="34" spans="1:22">
      <c r="A34" s="20">
        <v>46326</v>
      </c>
      <c r="B34" s="9" t="s">
        <v>45</v>
      </c>
      <c r="C34" s="10" t="s">
        <v>6</v>
      </c>
      <c r="D34" s="29"/>
      <c r="E34" s="29"/>
      <c r="F34" s="29"/>
      <c r="G34" s="28" t="str">
        <f t="shared" si="2"/>
        <v/>
      </c>
      <c r="H34" s="29"/>
      <c r="I34" s="29"/>
      <c r="J34" s="28" t="str">
        <f t="shared" si="3"/>
        <v/>
      </c>
      <c r="K34" s="29"/>
      <c r="L34" s="29"/>
      <c r="M34" s="29"/>
      <c r="N34" s="28">
        <f>IF(OR(C34="Ирина",C34="Обе"),Настройки!$B$3+IF(G34="",0,G34)*Настройки!$C$3,0)</f>
        <v>3500</v>
      </c>
      <c r="O34" s="28">
        <f>IF(OR(C34="Татьяна",C34="Обе"),Настройки!$B$4+IF(J34="",0,J34)*Настройки!$C$4,0)</f>
        <v>0</v>
      </c>
      <c r="P34" s="29"/>
      <c r="Q34" s="28">
        <f t="shared" si="6"/>
        <v>0</v>
      </c>
      <c r="R34" s="29"/>
      <c r="S34" s="28" t="str">
        <f t="shared" si="0"/>
        <v/>
      </c>
      <c r="T34" s="9" t="str">
        <f t="shared" si="1"/>
        <v/>
      </c>
      <c r="U34" s="10"/>
      <c r="V34" s="24" t="str">
        <f t="shared" si="5"/>
        <v/>
      </c>
    </row>
    <row r="35" spans="1:22">
      <c r="A35" s="20"/>
      <c r="B35" s="9" t="str">
        <f t="shared" ref="B35:B65" si="7">IF(A35="","",CHOOSE(WEEKDAY(A35,2),"понедельник","вторник","среда","четверг","пятница","суббота","воскресенье"))</f>
        <v/>
      </c>
      <c r="C35" s="10"/>
      <c r="D35" s="29"/>
      <c r="E35" s="29"/>
      <c r="F35" s="29"/>
      <c r="G35" s="28" t="str">
        <f t="shared" ref="G35:G66" si="8">IF(COUNTA(E35:F35)=0,"",SUM(E35:F35))</f>
        <v/>
      </c>
      <c r="H35" s="29"/>
      <c r="I35" s="29"/>
      <c r="J35" s="28" t="str">
        <f t="shared" ref="J35:J66" si="9">IF(COUNTA(H35:I35)=0,"",SUM(H35:I35))</f>
        <v/>
      </c>
      <c r="K35" s="29"/>
      <c r="L35" s="29"/>
      <c r="M35" s="29"/>
      <c r="N35" s="28">
        <f>IF(OR(C35="Ирина",C35="Обе"),Настройки!$B$3+IF(G35="",0,G35)*Настройки!$C$3,0)</f>
        <v>0</v>
      </c>
      <c r="O35" s="28">
        <f>IF(OR(C35="Татьяна",C35="Обе"),Настройки!$B$4+IF(J35="",0,J35)*Настройки!$C$4,0)</f>
        <v>0</v>
      </c>
      <c r="P35" s="29"/>
      <c r="Q35" s="28" t="str">
        <f t="shared" ref="Q35:Q66" si="10">IF(A35="","",D35+E35+H35+L35-K35-P35-M35)</f>
        <v/>
      </c>
      <c r="R35" s="29"/>
      <c r="S35" s="28" t="str">
        <f t="shared" ref="S35:S66" si="11">IF(ISNUMBER(R35),R35-Q35,"")</f>
        <v/>
      </c>
      <c r="T35" s="9" t="str">
        <f t="shared" ref="T35:T66" si="12">IF(ISNUMBER(S35),IF(S35=0,"✅ ВСЁ ТОЧНО",IF(S35&lt;0,"❌ НЕДОСТАЧА "&amp;TEXT(ABS(S35),"#,##0")&amp;" ₽","⚠️ ИЗЛИШЕК "&amp;TEXT(S35,"#,##0")&amp;" ₽")),"")</f>
        <v/>
      </c>
      <c r="U35" s="10"/>
      <c r="V35" s="24" t="str">
        <f t="shared" si="5"/>
        <v/>
      </c>
    </row>
    <row r="36" spans="1:22">
      <c r="A36" s="20"/>
      <c r="B36" s="9" t="str">
        <f t="shared" si="7"/>
        <v/>
      </c>
      <c r="C36" s="10"/>
      <c r="D36" s="29"/>
      <c r="E36" s="29"/>
      <c r="F36" s="29"/>
      <c r="G36" s="28" t="str">
        <f t="shared" si="8"/>
        <v/>
      </c>
      <c r="H36" s="29"/>
      <c r="I36" s="29"/>
      <c r="J36" s="28" t="str">
        <f t="shared" si="9"/>
        <v/>
      </c>
      <c r="K36" s="29"/>
      <c r="L36" s="29"/>
      <c r="M36" s="29"/>
      <c r="N36" s="28">
        <f>IF(OR(C36="Ирина",C36="Обе"),Настройки!$B$3+IF(G36="",0,G36)*Настройки!$C$3,0)</f>
        <v>0</v>
      </c>
      <c r="O36" s="28">
        <f>IF(OR(C36="Татьяна",C36="Обе"),Настройки!$B$4+IF(J36="",0,J36)*Настройки!$C$4,0)</f>
        <v>0</v>
      </c>
      <c r="P36" s="29"/>
      <c r="Q36" s="28" t="str">
        <f t="shared" si="10"/>
        <v/>
      </c>
      <c r="R36" s="29"/>
      <c r="S36" s="28" t="str">
        <f t="shared" si="11"/>
        <v/>
      </c>
      <c r="T36" s="9" t="str">
        <f t="shared" si="12"/>
        <v/>
      </c>
      <c r="U36" s="10"/>
      <c r="V36" s="24" t="str">
        <f t="shared" ref="V36:V67" si="13">IF(OR(A36="",C36="",R35=""),"",IF(D36=R35,"✅ ОК","⚠️ ПРОВЕРИТЬ"))</f>
        <v/>
      </c>
    </row>
    <row r="37" spans="1:22">
      <c r="A37" s="20"/>
      <c r="B37" s="9" t="str">
        <f t="shared" si="7"/>
        <v/>
      </c>
      <c r="C37" s="10"/>
      <c r="D37" s="29"/>
      <c r="E37" s="29"/>
      <c r="F37" s="29"/>
      <c r="G37" s="28" t="str">
        <f t="shared" si="8"/>
        <v/>
      </c>
      <c r="H37" s="29"/>
      <c r="I37" s="29"/>
      <c r="J37" s="28" t="str">
        <f t="shared" si="9"/>
        <v/>
      </c>
      <c r="K37" s="29"/>
      <c r="L37" s="29"/>
      <c r="M37" s="29"/>
      <c r="N37" s="28">
        <f>IF(OR(C37="Ирина",C37="Обе"),Настройки!$B$3+IF(G37="",0,G37)*Настройки!$C$3,0)</f>
        <v>0</v>
      </c>
      <c r="O37" s="28">
        <f>IF(OR(C37="Татьяна",C37="Обе"),Настройки!$B$4+IF(J37="",0,J37)*Настройки!$C$4,0)</f>
        <v>0</v>
      </c>
      <c r="P37" s="29"/>
      <c r="Q37" s="28" t="str">
        <f t="shared" si="10"/>
        <v/>
      </c>
      <c r="R37" s="29"/>
      <c r="S37" s="28" t="str">
        <f t="shared" si="11"/>
        <v/>
      </c>
      <c r="T37" s="9" t="str">
        <f t="shared" si="12"/>
        <v/>
      </c>
      <c r="U37" s="10"/>
      <c r="V37" s="24" t="str">
        <f t="shared" si="13"/>
        <v/>
      </c>
    </row>
    <row r="38" spans="1:22">
      <c r="A38" s="20"/>
      <c r="B38" s="9" t="str">
        <f t="shared" si="7"/>
        <v/>
      </c>
      <c r="C38" s="10"/>
      <c r="D38" s="29"/>
      <c r="E38" s="29"/>
      <c r="F38" s="29"/>
      <c r="G38" s="28" t="str">
        <f t="shared" si="8"/>
        <v/>
      </c>
      <c r="H38" s="29"/>
      <c r="I38" s="29"/>
      <c r="J38" s="28" t="str">
        <f t="shared" si="9"/>
        <v/>
      </c>
      <c r="K38" s="29"/>
      <c r="L38" s="29"/>
      <c r="M38" s="29"/>
      <c r="N38" s="28">
        <f>IF(OR(C38="Ирина",C38="Обе"),Настройки!$B$3+IF(G38="",0,G38)*Настройки!$C$3,0)</f>
        <v>0</v>
      </c>
      <c r="O38" s="28">
        <f>IF(OR(C38="Татьяна",C38="Обе"),Настройки!$B$4+IF(J38="",0,J38)*Настройки!$C$4,0)</f>
        <v>0</v>
      </c>
      <c r="P38" s="29"/>
      <c r="Q38" s="28" t="str">
        <f t="shared" si="10"/>
        <v/>
      </c>
      <c r="R38" s="29"/>
      <c r="S38" s="28" t="str">
        <f t="shared" si="11"/>
        <v/>
      </c>
      <c r="T38" s="9" t="str">
        <f t="shared" si="12"/>
        <v/>
      </c>
      <c r="U38" s="10"/>
      <c r="V38" s="24" t="str">
        <f t="shared" si="13"/>
        <v/>
      </c>
    </row>
    <row r="39" spans="1:22">
      <c r="A39" s="20"/>
      <c r="B39" s="9" t="str">
        <f t="shared" si="7"/>
        <v/>
      </c>
      <c r="C39" s="10"/>
      <c r="D39" s="29"/>
      <c r="E39" s="29"/>
      <c r="F39" s="29"/>
      <c r="G39" s="28" t="str">
        <f t="shared" si="8"/>
        <v/>
      </c>
      <c r="H39" s="29"/>
      <c r="I39" s="29"/>
      <c r="J39" s="28" t="str">
        <f t="shared" si="9"/>
        <v/>
      </c>
      <c r="K39" s="29"/>
      <c r="L39" s="29"/>
      <c r="M39" s="29"/>
      <c r="N39" s="28">
        <f>IF(OR(C39="Ирина",C39="Обе"),Настройки!$B$3+IF(G39="",0,G39)*Настройки!$C$3,0)</f>
        <v>0</v>
      </c>
      <c r="O39" s="28">
        <f>IF(OR(C39="Татьяна",C39="Обе"),Настройки!$B$4+IF(J39="",0,J39)*Настройки!$C$4,0)</f>
        <v>0</v>
      </c>
      <c r="P39" s="29"/>
      <c r="Q39" s="28" t="str">
        <f t="shared" si="10"/>
        <v/>
      </c>
      <c r="R39" s="29"/>
      <c r="S39" s="28" t="str">
        <f t="shared" si="11"/>
        <v/>
      </c>
      <c r="T39" s="9" t="str">
        <f t="shared" si="12"/>
        <v/>
      </c>
      <c r="U39" s="10"/>
      <c r="V39" s="24" t="str">
        <f t="shared" si="13"/>
        <v/>
      </c>
    </row>
    <row r="40" spans="1:22">
      <c r="A40" s="20"/>
      <c r="B40" s="9" t="str">
        <f t="shared" si="7"/>
        <v/>
      </c>
      <c r="C40" s="10"/>
      <c r="D40" s="29"/>
      <c r="E40" s="29"/>
      <c r="F40" s="29"/>
      <c r="G40" s="28" t="str">
        <f t="shared" si="8"/>
        <v/>
      </c>
      <c r="H40" s="29"/>
      <c r="I40" s="29"/>
      <c r="J40" s="28" t="str">
        <f t="shared" si="9"/>
        <v/>
      </c>
      <c r="K40" s="29"/>
      <c r="L40" s="29"/>
      <c r="M40" s="29"/>
      <c r="N40" s="28">
        <f>IF(OR(C40="Ирина",C40="Обе"),Настройки!$B$3+IF(G40="",0,G40)*Настройки!$C$3,0)</f>
        <v>0</v>
      </c>
      <c r="O40" s="28">
        <f>IF(OR(C40="Татьяна",C40="Обе"),Настройки!$B$4+IF(J40="",0,J40)*Настройки!$C$4,0)</f>
        <v>0</v>
      </c>
      <c r="P40" s="29"/>
      <c r="Q40" s="28" t="str">
        <f t="shared" si="10"/>
        <v/>
      </c>
      <c r="R40" s="29"/>
      <c r="S40" s="28" t="str">
        <f t="shared" si="11"/>
        <v/>
      </c>
      <c r="T40" s="9" t="str">
        <f t="shared" si="12"/>
        <v/>
      </c>
      <c r="U40" s="10"/>
      <c r="V40" s="24" t="str">
        <f t="shared" si="13"/>
        <v/>
      </c>
    </row>
    <row r="41" spans="1:22">
      <c r="A41" s="20"/>
      <c r="B41" s="9" t="str">
        <f t="shared" si="7"/>
        <v/>
      </c>
      <c r="C41" s="10"/>
      <c r="D41" s="29"/>
      <c r="E41" s="29"/>
      <c r="F41" s="29"/>
      <c r="G41" s="28" t="str">
        <f t="shared" si="8"/>
        <v/>
      </c>
      <c r="H41" s="29"/>
      <c r="I41" s="29"/>
      <c r="J41" s="28" t="str">
        <f t="shared" si="9"/>
        <v/>
      </c>
      <c r="K41" s="29"/>
      <c r="L41" s="29"/>
      <c r="M41" s="29"/>
      <c r="N41" s="28">
        <f>IF(OR(C41="Ирина",C41="Обе"),Настройки!$B$3+IF(G41="",0,G41)*Настройки!$C$3,0)</f>
        <v>0</v>
      </c>
      <c r="O41" s="28">
        <f>IF(OR(C41="Татьяна",C41="Обе"),Настройки!$B$4+IF(J41="",0,J41)*Настройки!$C$4,0)</f>
        <v>0</v>
      </c>
      <c r="P41" s="29"/>
      <c r="Q41" s="28" t="str">
        <f t="shared" si="10"/>
        <v/>
      </c>
      <c r="R41" s="29"/>
      <c r="S41" s="28" t="str">
        <f t="shared" si="11"/>
        <v/>
      </c>
      <c r="T41" s="9" t="str">
        <f t="shared" si="12"/>
        <v/>
      </c>
      <c r="U41" s="10"/>
      <c r="V41" s="24" t="str">
        <f t="shared" si="13"/>
        <v/>
      </c>
    </row>
    <row r="42" spans="1:22">
      <c r="A42" s="20"/>
      <c r="B42" s="9" t="str">
        <f t="shared" si="7"/>
        <v/>
      </c>
      <c r="C42" s="10"/>
      <c r="D42" s="29"/>
      <c r="E42" s="29"/>
      <c r="F42" s="29"/>
      <c r="G42" s="28" t="str">
        <f t="shared" si="8"/>
        <v/>
      </c>
      <c r="H42" s="29"/>
      <c r="I42" s="29"/>
      <c r="J42" s="28" t="str">
        <f t="shared" si="9"/>
        <v/>
      </c>
      <c r="K42" s="29"/>
      <c r="L42" s="29"/>
      <c r="M42" s="29"/>
      <c r="N42" s="28">
        <f>IF(OR(C42="Ирина",C42="Обе"),Настройки!$B$3+IF(G42="",0,G42)*Настройки!$C$3,0)</f>
        <v>0</v>
      </c>
      <c r="O42" s="28">
        <f>IF(OR(C42="Татьяна",C42="Обе"),Настройки!$B$4+IF(J42="",0,J42)*Настройки!$C$4,0)</f>
        <v>0</v>
      </c>
      <c r="P42" s="29"/>
      <c r="Q42" s="28" t="str">
        <f t="shared" si="10"/>
        <v/>
      </c>
      <c r="R42" s="29"/>
      <c r="S42" s="28" t="str">
        <f t="shared" si="11"/>
        <v/>
      </c>
      <c r="T42" s="9" t="str">
        <f t="shared" si="12"/>
        <v/>
      </c>
      <c r="U42" s="10"/>
      <c r="V42" s="24" t="str">
        <f t="shared" si="13"/>
        <v/>
      </c>
    </row>
    <row r="43" spans="1:22">
      <c r="A43" s="20"/>
      <c r="B43" s="9" t="str">
        <f t="shared" si="7"/>
        <v/>
      </c>
      <c r="C43" s="10"/>
      <c r="D43" s="29"/>
      <c r="E43" s="29"/>
      <c r="F43" s="29"/>
      <c r="G43" s="28" t="str">
        <f t="shared" si="8"/>
        <v/>
      </c>
      <c r="H43" s="29"/>
      <c r="I43" s="29"/>
      <c r="J43" s="28" t="str">
        <f t="shared" si="9"/>
        <v/>
      </c>
      <c r="K43" s="29"/>
      <c r="L43" s="29"/>
      <c r="M43" s="29"/>
      <c r="N43" s="28">
        <f>IF(OR(C43="Ирина",C43="Обе"),Настройки!$B$3+IF(G43="",0,G43)*Настройки!$C$3,0)</f>
        <v>0</v>
      </c>
      <c r="O43" s="28">
        <f>IF(OR(C43="Татьяна",C43="Обе"),Настройки!$B$4+IF(J43="",0,J43)*Настройки!$C$4,0)</f>
        <v>0</v>
      </c>
      <c r="P43" s="29"/>
      <c r="Q43" s="28" t="str">
        <f t="shared" si="10"/>
        <v/>
      </c>
      <c r="R43" s="29"/>
      <c r="S43" s="28" t="str">
        <f t="shared" si="11"/>
        <v/>
      </c>
      <c r="T43" s="9" t="str">
        <f t="shared" si="12"/>
        <v/>
      </c>
      <c r="U43" s="10"/>
      <c r="V43" s="24" t="str">
        <f t="shared" si="13"/>
        <v/>
      </c>
    </row>
    <row r="44" spans="1:22">
      <c r="A44" s="20"/>
      <c r="B44" s="9" t="str">
        <f t="shared" si="7"/>
        <v/>
      </c>
      <c r="C44" s="10"/>
      <c r="D44" s="29"/>
      <c r="E44" s="29"/>
      <c r="F44" s="29"/>
      <c r="G44" s="28" t="str">
        <f t="shared" si="8"/>
        <v/>
      </c>
      <c r="H44" s="29"/>
      <c r="I44" s="29"/>
      <c r="J44" s="28" t="str">
        <f t="shared" si="9"/>
        <v/>
      </c>
      <c r="K44" s="29"/>
      <c r="L44" s="29"/>
      <c r="M44" s="29"/>
      <c r="N44" s="28">
        <f>IF(OR(C44="Ирина",C44="Обе"),Настройки!$B$3+IF(G44="",0,G44)*Настройки!$C$3,0)</f>
        <v>0</v>
      </c>
      <c r="O44" s="28">
        <f>IF(OR(C44="Татьяна",C44="Обе"),Настройки!$B$4+IF(J44="",0,J44)*Настройки!$C$4,0)</f>
        <v>0</v>
      </c>
      <c r="P44" s="29"/>
      <c r="Q44" s="28" t="str">
        <f t="shared" si="10"/>
        <v/>
      </c>
      <c r="R44" s="29"/>
      <c r="S44" s="28" t="str">
        <f t="shared" si="11"/>
        <v/>
      </c>
      <c r="T44" s="9" t="str">
        <f t="shared" si="12"/>
        <v/>
      </c>
      <c r="U44" s="10"/>
      <c r="V44" s="24" t="str">
        <f t="shared" si="13"/>
        <v/>
      </c>
    </row>
    <row r="45" spans="1:22">
      <c r="A45" s="20"/>
      <c r="B45" s="9" t="str">
        <f t="shared" si="7"/>
        <v/>
      </c>
      <c r="C45" s="10"/>
      <c r="D45" s="29"/>
      <c r="E45" s="29"/>
      <c r="F45" s="29"/>
      <c r="G45" s="28" t="str">
        <f t="shared" si="8"/>
        <v/>
      </c>
      <c r="H45" s="29"/>
      <c r="I45" s="29"/>
      <c r="J45" s="28" t="str">
        <f t="shared" si="9"/>
        <v/>
      </c>
      <c r="K45" s="29"/>
      <c r="L45" s="29"/>
      <c r="M45" s="29"/>
      <c r="N45" s="28">
        <f>IF(OR(C45="Ирина",C45="Обе"),Настройки!$B$3+IF(G45="",0,G45)*Настройки!$C$3,0)</f>
        <v>0</v>
      </c>
      <c r="O45" s="28">
        <f>IF(OR(C45="Татьяна",C45="Обе"),Настройки!$B$4+IF(J45="",0,J45)*Настройки!$C$4,0)</f>
        <v>0</v>
      </c>
      <c r="P45" s="29"/>
      <c r="Q45" s="28" t="str">
        <f t="shared" si="10"/>
        <v/>
      </c>
      <c r="R45" s="29"/>
      <c r="S45" s="28" t="str">
        <f t="shared" si="11"/>
        <v/>
      </c>
      <c r="T45" s="9" t="str">
        <f t="shared" si="12"/>
        <v/>
      </c>
      <c r="U45" s="10"/>
      <c r="V45" s="24" t="str">
        <f t="shared" si="13"/>
        <v/>
      </c>
    </row>
    <row r="46" spans="1:22">
      <c r="A46" s="20"/>
      <c r="B46" s="9" t="str">
        <f t="shared" si="7"/>
        <v/>
      </c>
      <c r="C46" s="10"/>
      <c r="D46" s="29"/>
      <c r="E46" s="29"/>
      <c r="F46" s="29"/>
      <c r="G46" s="28" t="str">
        <f t="shared" si="8"/>
        <v/>
      </c>
      <c r="H46" s="29"/>
      <c r="I46" s="29"/>
      <c r="J46" s="28" t="str">
        <f t="shared" si="9"/>
        <v/>
      </c>
      <c r="K46" s="29"/>
      <c r="L46" s="29"/>
      <c r="M46" s="29"/>
      <c r="N46" s="28">
        <f>IF(OR(C46="Ирина",C46="Обе"),Настройки!$B$3+IF(G46="",0,G46)*Настройки!$C$3,0)</f>
        <v>0</v>
      </c>
      <c r="O46" s="28">
        <f>IF(OR(C46="Татьяна",C46="Обе"),Настройки!$B$4+IF(J46="",0,J46)*Настройки!$C$4,0)</f>
        <v>0</v>
      </c>
      <c r="P46" s="29"/>
      <c r="Q46" s="28" t="str">
        <f t="shared" si="10"/>
        <v/>
      </c>
      <c r="R46" s="29"/>
      <c r="S46" s="28" t="str">
        <f t="shared" si="11"/>
        <v/>
      </c>
      <c r="T46" s="9" t="str">
        <f t="shared" si="12"/>
        <v/>
      </c>
      <c r="U46" s="10"/>
      <c r="V46" s="24" t="str">
        <f t="shared" si="13"/>
        <v/>
      </c>
    </row>
    <row r="47" spans="1:22">
      <c r="A47" s="20"/>
      <c r="B47" s="9" t="str">
        <f t="shared" si="7"/>
        <v/>
      </c>
      <c r="C47" s="10"/>
      <c r="D47" s="29"/>
      <c r="E47" s="29"/>
      <c r="F47" s="29"/>
      <c r="G47" s="28" t="str">
        <f t="shared" si="8"/>
        <v/>
      </c>
      <c r="H47" s="29"/>
      <c r="I47" s="29"/>
      <c r="J47" s="28" t="str">
        <f t="shared" si="9"/>
        <v/>
      </c>
      <c r="K47" s="29"/>
      <c r="L47" s="29"/>
      <c r="M47" s="29"/>
      <c r="N47" s="28">
        <f>IF(OR(C47="Ирина",C47="Обе"),Настройки!$B$3+IF(G47="",0,G47)*Настройки!$C$3,0)</f>
        <v>0</v>
      </c>
      <c r="O47" s="28">
        <f>IF(OR(C47="Татьяна",C47="Обе"),Настройки!$B$4+IF(J47="",0,J47)*Настройки!$C$4,0)</f>
        <v>0</v>
      </c>
      <c r="P47" s="29"/>
      <c r="Q47" s="28" t="str">
        <f t="shared" si="10"/>
        <v/>
      </c>
      <c r="R47" s="29"/>
      <c r="S47" s="28" t="str">
        <f t="shared" si="11"/>
        <v/>
      </c>
      <c r="T47" s="9" t="str">
        <f t="shared" si="12"/>
        <v/>
      </c>
      <c r="U47" s="10"/>
      <c r="V47" s="24" t="str">
        <f t="shared" si="13"/>
        <v/>
      </c>
    </row>
    <row r="48" spans="1:22">
      <c r="A48" s="20"/>
      <c r="B48" s="9" t="str">
        <f t="shared" si="7"/>
        <v/>
      </c>
      <c r="C48" s="10"/>
      <c r="D48" s="29"/>
      <c r="E48" s="29"/>
      <c r="F48" s="29"/>
      <c r="G48" s="28" t="str">
        <f t="shared" si="8"/>
        <v/>
      </c>
      <c r="H48" s="29"/>
      <c r="I48" s="29"/>
      <c r="J48" s="28" t="str">
        <f t="shared" si="9"/>
        <v/>
      </c>
      <c r="K48" s="29"/>
      <c r="L48" s="29"/>
      <c r="M48" s="29"/>
      <c r="N48" s="28">
        <f>IF(OR(C48="Ирина",C48="Обе"),Настройки!$B$3+IF(G48="",0,G48)*Настройки!$C$3,0)</f>
        <v>0</v>
      </c>
      <c r="O48" s="28">
        <f>IF(OR(C48="Татьяна",C48="Обе"),Настройки!$B$4+IF(J48="",0,J48)*Настройки!$C$4,0)</f>
        <v>0</v>
      </c>
      <c r="P48" s="29"/>
      <c r="Q48" s="28" t="str">
        <f t="shared" si="10"/>
        <v/>
      </c>
      <c r="R48" s="29"/>
      <c r="S48" s="28" t="str">
        <f t="shared" si="11"/>
        <v/>
      </c>
      <c r="T48" s="9" t="str">
        <f t="shared" si="12"/>
        <v/>
      </c>
      <c r="U48" s="10"/>
      <c r="V48" s="24" t="str">
        <f t="shared" si="13"/>
        <v/>
      </c>
    </row>
    <row r="49" spans="1:22">
      <c r="A49" s="20"/>
      <c r="B49" s="9" t="str">
        <f t="shared" si="7"/>
        <v/>
      </c>
      <c r="C49" s="10"/>
      <c r="D49" s="29"/>
      <c r="E49" s="29"/>
      <c r="F49" s="29"/>
      <c r="G49" s="28" t="str">
        <f t="shared" si="8"/>
        <v/>
      </c>
      <c r="H49" s="29"/>
      <c r="I49" s="29"/>
      <c r="J49" s="28" t="str">
        <f t="shared" si="9"/>
        <v/>
      </c>
      <c r="K49" s="29"/>
      <c r="L49" s="29"/>
      <c r="M49" s="29"/>
      <c r="N49" s="28">
        <f>IF(OR(C49="Ирина",C49="Обе"),Настройки!$B$3+IF(G49="",0,G49)*Настройки!$C$3,0)</f>
        <v>0</v>
      </c>
      <c r="O49" s="28">
        <f>IF(OR(C49="Татьяна",C49="Обе"),Настройки!$B$4+IF(J49="",0,J49)*Настройки!$C$4,0)</f>
        <v>0</v>
      </c>
      <c r="P49" s="29"/>
      <c r="Q49" s="28" t="str">
        <f t="shared" si="10"/>
        <v/>
      </c>
      <c r="R49" s="29"/>
      <c r="S49" s="28" t="str">
        <f t="shared" si="11"/>
        <v/>
      </c>
      <c r="T49" s="9" t="str">
        <f t="shared" si="12"/>
        <v/>
      </c>
      <c r="U49" s="10"/>
      <c r="V49" s="24" t="str">
        <f t="shared" si="13"/>
        <v/>
      </c>
    </row>
    <row r="50" spans="1:22">
      <c r="A50" s="20"/>
      <c r="B50" s="9" t="str">
        <f t="shared" si="7"/>
        <v/>
      </c>
      <c r="C50" s="10"/>
      <c r="D50" s="29"/>
      <c r="E50" s="29"/>
      <c r="F50" s="29"/>
      <c r="G50" s="28" t="str">
        <f t="shared" si="8"/>
        <v/>
      </c>
      <c r="H50" s="29"/>
      <c r="I50" s="29"/>
      <c r="J50" s="28" t="str">
        <f t="shared" si="9"/>
        <v/>
      </c>
      <c r="K50" s="29"/>
      <c r="L50" s="29"/>
      <c r="M50" s="29"/>
      <c r="N50" s="28">
        <f>IF(OR(C50="Ирина",C50="Обе"),Настройки!$B$3+IF(G50="",0,G50)*Настройки!$C$3,0)</f>
        <v>0</v>
      </c>
      <c r="O50" s="28">
        <f>IF(OR(C50="Татьяна",C50="Обе"),Настройки!$B$4+IF(J50="",0,J50)*Настройки!$C$4,0)</f>
        <v>0</v>
      </c>
      <c r="P50" s="29"/>
      <c r="Q50" s="28" t="str">
        <f t="shared" si="10"/>
        <v/>
      </c>
      <c r="R50" s="29"/>
      <c r="S50" s="28" t="str">
        <f t="shared" si="11"/>
        <v/>
      </c>
      <c r="T50" s="9" t="str">
        <f t="shared" si="12"/>
        <v/>
      </c>
      <c r="U50" s="10"/>
      <c r="V50" s="24" t="str">
        <f t="shared" si="13"/>
        <v/>
      </c>
    </row>
    <row r="51" spans="1:22">
      <c r="A51" s="20"/>
      <c r="B51" s="9" t="str">
        <f t="shared" si="7"/>
        <v/>
      </c>
      <c r="C51" s="10"/>
      <c r="D51" s="29"/>
      <c r="E51" s="29"/>
      <c r="F51" s="29"/>
      <c r="G51" s="28" t="str">
        <f t="shared" si="8"/>
        <v/>
      </c>
      <c r="H51" s="29"/>
      <c r="I51" s="29"/>
      <c r="J51" s="28" t="str">
        <f t="shared" si="9"/>
        <v/>
      </c>
      <c r="K51" s="29"/>
      <c r="L51" s="29"/>
      <c r="M51" s="29"/>
      <c r="N51" s="28">
        <f>IF(OR(C51="Ирина",C51="Обе"),Настройки!$B$3+IF(G51="",0,G51)*Настройки!$C$3,0)</f>
        <v>0</v>
      </c>
      <c r="O51" s="28">
        <f>IF(OR(C51="Татьяна",C51="Обе"),Настройки!$B$4+IF(J51="",0,J51)*Настройки!$C$4,0)</f>
        <v>0</v>
      </c>
      <c r="P51" s="29"/>
      <c r="Q51" s="28" t="str">
        <f t="shared" si="10"/>
        <v/>
      </c>
      <c r="R51" s="29"/>
      <c r="S51" s="28" t="str">
        <f t="shared" si="11"/>
        <v/>
      </c>
      <c r="T51" s="9" t="str">
        <f t="shared" si="12"/>
        <v/>
      </c>
      <c r="U51" s="10"/>
      <c r="V51" s="24" t="str">
        <f t="shared" si="13"/>
        <v/>
      </c>
    </row>
    <row r="52" spans="1:22">
      <c r="A52" s="20"/>
      <c r="B52" s="9" t="str">
        <f t="shared" si="7"/>
        <v/>
      </c>
      <c r="C52" s="10"/>
      <c r="D52" s="29"/>
      <c r="E52" s="29"/>
      <c r="F52" s="29"/>
      <c r="G52" s="28" t="str">
        <f t="shared" si="8"/>
        <v/>
      </c>
      <c r="H52" s="29"/>
      <c r="I52" s="29"/>
      <c r="J52" s="28" t="str">
        <f t="shared" si="9"/>
        <v/>
      </c>
      <c r="K52" s="29"/>
      <c r="L52" s="29"/>
      <c r="M52" s="29"/>
      <c r="N52" s="28">
        <f>IF(OR(C52="Ирина",C52="Обе"),Настройки!$B$3+IF(G52="",0,G52)*Настройки!$C$3,0)</f>
        <v>0</v>
      </c>
      <c r="O52" s="28">
        <f>IF(OR(C52="Татьяна",C52="Обе"),Настройки!$B$4+IF(J52="",0,J52)*Настройки!$C$4,0)</f>
        <v>0</v>
      </c>
      <c r="P52" s="29"/>
      <c r="Q52" s="28" t="str">
        <f t="shared" si="10"/>
        <v/>
      </c>
      <c r="R52" s="29"/>
      <c r="S52" s="28" t="str">
        <f t="shared" si="11"/>
        <v/>
      </c>
      <c r="T52" s="9" t="str">
        <f t="shared" si="12"/>
        <v/>
      </c>
      <c r="U52" s="10"/>
      <c r="V52" s="24" t="str">
        <f t="shared" si="13"/>
        <v/>
      </c>
    </row>
    <row r="53" spans="1:22">
      <c r="A53" s="20"/>
      <c r="B53" s="9" t="str">
        <f t="shared" si="7"/>
        <v/>
      </c>
      <c r="C53" s="10"/>
      <c r="D53" s="29"/>
      <c r="E53" s="29"/>
      <c r="F53" s="29"/>
      <c r="G53" s="28" t="str">
        <f t="shared" si="8"/>
        <v/>
      </c>
      <c r="H53" s="29"/>
      <c r="I53" s="29"/>
      <c r="J53" s="28" t="str">
        <f t="shared" si="9"/>
        <v/>
      </c>
      <c r="K53" s="29"/>
      <c r="L53" s="29"/>
      <c r="M53" s="29"/>
      <c r="N53" s="28">
        <f>IF(OR(C53="Ирина",C53="Обе"),Настройки!$B$3+IF(G53="",0,G53)*Настройки!$C$3,0)</f>
        <v>0</v>
      </c>
      <c r="O53" s="28">
        <f>IF(OR(C53="Татьяна",C53="Обе"),Настройки!$B$4+IF(J53="",0,J53)*Настройки!$C$4,0)</f>
        <v>0</v>
      </c>
      <c r="P53" s="29"/>
      <c r="Q53" s="28" t="str">
        <f t="shared" si="10"/>
        <v/>
      </c>
      <c r="R53" s="29"/>
      <c r="S53" s="28" t="str">
        <f t="shared" si="11"/>
        <v/>
      </c>
      <c r="T53" s="9" t="str">
        <f t="shared" si="12"/>
        <v/>
      </c>
      <c r="U53" s="10"/>
      <c r="V53" s="24" t="str">
        <f t="shared" si="13"/>
        <v/>
      </c>
    </row>
    <row r="54" spans="1:22">
      <c r="A54" s="20"/>
      <c r="B54" s="9" t="str">
        <f t="shared" si="7"/>
        <v/>
      </c>
      <c r="C54" s="10"/>
      <c r="D54" s="29"/>
      <c r="E54" s="29"/>
      <c r="F54" s="29"/>
      <c r="G54" s="28" t="str">
        <f t="shared" si="8"/>
        <v/>
      </c>
      <c r="H54" s="29"/>
      <c r="I54" s="29"/>
      <c r="J54" s="28" t="str">
        <f t="shared" si="9"/>
        <v/>
      </c>
      <c r="K54" s="29"/>
      <c r="L54" s="29"/>
      <c r="M54" s="29"/>
      <c r="N54" s="28">
        <f>IF(OR(C54="Ирина",C54="Обе"),Настройки!$B$3+IF(G54="",0,G54)*Настройки!$C$3,0)</f>
        <v>0</v>
      </c>
      <c r="O54" s="28">
        <f>IF(OR(C54="Татьяна",C54="Обе"),Настройки!$B$4+IF(J54="",0,J54)*Настройки!$C$4,0)</f>
        <v>0</v>
      </c>
      <c r="P54" s="29"/>
      <c r="Q54" s="28" t="str">
        <f t="shared" si="10"/>
        <v/>
      </c>
      <c r="R54" s="29"/>
      <c r="S54" s="28" t="str">
        <f t="shared" si="11"/>
        <v/>
      </c>
      <c r="T54" s="9" t="str">
        <f t="shared" si="12"/>
        <v/>
      </c>
      <c r="U54" s="10"/>
      <c r="V54" s="24" t="str">
        <f t="shared" si="13"/>
        <v/>
      </c>
    </row>
    <row r="55" spans="1:22">
      <c r="A55" s="20"/>
      <c r="B55" s="9" t="str">
        <f t="shared" si="7"/>
        <v/>
      </c>
      <c r="C55" s="10"/>
      <c r="D55" s="29"/>
      <c r="E55" s="29"/>
      <c r="F55" s="29"/>
      <c r="G55" s="28" t="str">
        <f t="shared" si="8"/>
        <v/>
      </c>
      <c r="H55" s="29"/>
      <c r="I55" s="29"/>
      <c r="J55" s="28" t="str">
        <f t="shared" si="9"/>
        <v/>
      </c>
      <c r="K55" s="29"/>
      <c r="L55" s="29"/>
      <c r="M55" s="29"/>
      <c r="N55" s="28">
        <f>IF(OR(C55="Ирина",C55="Обе"),Настройки!$B$3+IF(G55="",0,G55)*Настройки!$C$3,0)</f>
        <v>0</v>
      </c>
      <c r="O55" s="28">
        <f>IF(OR(C55="Татьяна",C55="Обе"),Настройки!$B$4+IF(J55="",0,J55)*Настройки!$C$4,0)</f>
        <v>0</v>
      </c>
      <c r="P55" s="29"/>
      <c r="Q55" s="28" t="str">
        <f t="shared" si="10"/>
        <v/>
      </c>
      <c r="R55" s="29"/>
      <c r="S55" s="28" t="str">
        <f t="shared" si="11"/>
        <v/>
      </c>
      <c r="T55" s="9" t="str">
        <f t="shared" si="12"/>
        <v/>
      </c>
      <c r="U55" s="10"/>
      <c r="V55" s="24" t="str">
        <f t="shared" si="13"/>
        <v/>
      </c>
    </row>
    <row r="56" spans="1:22">
      <c r="A56" s="20"/>
      <c r="B56" s="9" t="str">
        <f t="shared" si="7"/>
        <v/>
      </c>
      <c r="C56" s="10"/>
      <c r="D56" s="29"/>
      <c r="E56" s="29"/>
      <c r="F56" s="29"/>
      <c r="G56" s="28" t="str">
        <f t="shared" si="8"/>
        <v/>
      </c>
      <c r="H56" s="29"/>
      <c r="I56" s="29"/>
      <c r="J56" s="28" t="str">
        <f t="shared" si="9"/>
        <v/>
      </c>
      <c r="K56" s="29"/>
      <c r="L56" s="29"/>
      <c r="M56" s="29"/>
      <c r="N56" s="28">
        <f>IF(OR(C56="Ирина",C56="Обе"),Настройки!$B$3+IF(G56="",0,G56)*Настройки!$C$3,0)</f>
        <v>0</v>
      </c>
      <c r="O56" s="28">
        <f>IF(OR(C56="Татьяна",C56="Обе"),Настройки!$B$4+IF(J56="",0,J56)*Настройки!$C$4,0)</f>
        <v>0</v>
      </c>
      <c r="P56" s="29"/>
      <c r="Q56" s="28" t="str">
        <f t="shared" si="10"/>
        <v/>
      </c>
      <c r="R56" s="29"/>
      <c r="S56" s="28" t="str">
        <f t="shared" si="11"/>
        <v/>
      </c>
      <c r="T56" s="9" t="str">
        <f t="shared" si="12"/>
        <v/>
      </c>
      <c r="U56" s="10"/>
      <c r="V56" s="24" t="str">
        <f t="shared" si="13"/>
        <v/>
      </c>
    </row>
    <row r="57" spans="1:22">
      <c r="A57" s="20"/>
      <c r="B57" s="9" t="str">
        <f t="shared" si="7"/>
        <v/>
      </c>
      <c r="C57" s="10"/>
      <c r="D57" s="29"/>
      <c r="E57" s="29"/>
      <c r="F57" s="29"/>
      <c r="G57" s="28" t="str">
        <f t="shared" si="8"/>
        <v/>
      </c>
      <c r="H57" s="29"/>
      <c r="I57" s="29"/>
      <c r="J57" s="28" t="str">
        <f t="shared" si="9"/>
        <v/>
      </c>
      <c r="K57" s="29"/>
      <c r="L57" s="29"/>
      <c r="M57" s="29"/>
      <c r="N57" s="28">
        <f>IF(OR(C57="Ирина",C57="Обе"),Настройки!$B$3+IF(G57="",0,G57)*Настройки!$C$3,0)</f>
        <v>0</v>
      </c>
      <c r="O57" s="28">
        <f>IF(OR(C57="Татьяна",C57="Обе"),Настройки!$B$4+IF(J57="",0,J57)*Настройки!$C$4,0)</f>
        <v>0</v>
      </c>
      <c r="P57" s="29"/>
      <c r="Q57" s="28" t="str">
        <f t="shared" si="10"/>
        <v/>
      </c>
      <c r="R57" s="29"/>
      <c r="S57" s="28" t="str">
        <f t="shared" si="11"/>
        <v/>
      </c>
      <c r="T57" s="9" t="str">
        <f t="shared" si="12"/>
        <v/>
      </c>
      <c r="U57" s="10"/>
      <c r="V57" s="24" t="str">
        <f t="shared" si="13"/>
        <v/>
      </c>
    </row>
    <row r="58" spans="1:22">
      <c r="A58" s="20"/>
      <c r="B58" s="9" t="str">
        <f t="shared" si="7"/>
        <v/>
      </c>
      <c r="C58" s="10"/>
      <c r="D58" s="29"/>
      <c r="E58" s="29"/>
      <c r="F58" s="29"/>
      <c r="G58" s="28" t="str">
        <f t="shared" si="8"/>
        <v/>
      </c>
      <c r="H58" s="29"/>
      <c r="I58" s="29"/>
      <c r="J58" s="28" t="str">
        <f t="shared" si="9"/>
        <v/>
      </c>
      <c r="K58" s="29"/>
      <c r="L58" s="29"/>
      <c r="M58" s="29"/>
      <c r="N58" s="28">
        <f>IF(OR(C58="Ирина",C58="Обе"),Настройки!$B$3+IF(G58="",0,G58)*Настройки!$C$3,0)</f>
        <v>0</v>
      </c>
      <c r="O58" s="28">
        <f>IF(OR(C58="Татьяна",C58="Обе"),Настройки!$B$4+IF(J58="",0,J58)*Настройки!$C$4,0)</f>
        <v>0</v>
      </c>
      <c r="P58" s="29"/>
      <c r="Q58" s="28" t="str">
        <f t="shared" si="10"/>
        <v/>
      </c>
      <c r="R58" s="29"/>
      <c r="S58" s="28" t="str">
        <f t="shared" si="11"/>
        <v/>
      </c>
      <c r="T58" s="9" t="str">
        <f t="shared" si="12"/>
        <v/>
      </c>
      <c r="U58" s="10"/>
      <c r="V58" s="24" t="str">
        <f t="shared" si="13"/>
        <v/>
      </c>
    </row>
    <row r="59" spans="1:22">
      <c r="A59" s="20"/>
      <c r="B59" s="9" t="str">
        <f t="shared" si="7"/>
        <v/>
      </c>
      <c r="C59" s="10"/>
      <c r="D59" s="29"/>
      <c r="E59" s="29"/>
      <c r="F59" s="29"/>
      <c r="G59" s="28" t="str">
        <f t="shared" si="8"/>
        <v/>
      </c>
      <c r="H59" s="29"/>
      <c r="I59" s="29"/>
      <c r="J59" s="28" t="str">
        <f t="shared" si="9"/>
        <v/>
      </c>
      <c r="K59" s="29"/>
      <c r="L59" s="29"/>
      <c r="M59" s="29"/>
      <c r="N59" s="28">
        <f>IF(OR(C59="Ирина",C59="Обе"),Настройки!$B$3+IF(G59="",0,G59)*Настройки!$C$3,0)</f>
        <v>0</v>
      </c>
      <c r="O59" s="28">
        <f>IF(OR(C59="Татьяна",C59="Обе"),Настройки!$B$4+IF(J59="",0,J59)*Настройки!$C$4,0)</f>
        <v>0</v>
      </c>
      <c r="P59" s="29"/>
      <c r="Q59" s="28" t="str">
        <f t="shared" si="10"/>
        <v/>
      </c>
      <c r="R59" s="29"/>
      <c r="S59" s="28" t="str">
        <f t="shared" si="11"/>
        <v/>
      </c>
      <c r="T59" s="9" t="str">
        <f t="shared" si="12"/>
        <v/>
      </c>
      <c r="U59" s="10"/>
      <c r="V59" s="24" t="str">
        <f t="shared" si="13"/>
        <v/>
      </c>
    </row>
    <row r="60" spans="1:22">
      <c r="A60" s="20"/>
      <c r="B60" s="9" t="str">
        <f t="shared" si="7"/>
        <v/>
      </c>
      <c r="C60" s="10"/>
      <c r="D60" s="29"/>
      <c r="E60" s="29"/>
      <c r="F60" s="29"/>
      <c r="G60" s="28" t="str">
        <f t="shared" si="8"/>
        <v/>
      </c>
      <c r="H60" s="29"/>
      <c r="I60" s="29"/>
      <c r="J60" s="28" t="str">
        <f t="shared" si="9"/>
        <v/>
      </c>
      <c r="K60" s="29"/>
      <c r="L60" s="29"/>
      <c r="M60" s="29"/>
      <c r="N60" s="28">
        <f>IF(OR(C60="Ирина",C60="Обе"),Настройки!$B$3+IF(G60="",0,G60)*Настройки!$C$3,0)</f>
        <v>0</v>
      </c>
      <c r="O60" s="28">
        <f>IF(OR(C60="Татьяна",C60="Обе"),Настройки!$B$4+IF(J60="",0,J60)*Настройки!$C$4,0)</f>
        <v>0</v>
      </c>
      <c r="P60" s="29"/>
      <c r="Q60" s="28" t="str">
        <f t="shared" si="10"/>
        <v/>
      </c>
      <c r="R60" s="29"/>
      <c r="S60" s="28" t="str">
        <f t="shared" si="11"/>
        <v/>
      </c>
      <c r="T60" s="9" t="str">
        <f t="shared" si="12"/>
        <v/>
      </c>
      <c r="U60" s="10"/>
      <c r="V60" s="24" t="str">
        <f t="shared" si="13"/>
        <v/>
      </c>
    </row>
    <row r="61" spans="1:22">
      <c r="A61" s="20"/>
      <c r="B61" s="9" t="str">
        <f t="shared" si="7"/>
        <v/>
      </c>
      <c r="C61" s="10"/>
      <c r="D61" s="29"/>
      <c r="E61" s="29"/>
      <c r="F61" s="29"/>
      <c r="G61" s="28" t="str">
        <f t="shared" si="8"/>
        <v/>
      </c>
      <c r="H61" s="29"/>
      <c r="I61" s="29"/>
      <c r="J61" s="28" t="str">
        <f t="shared" si="9"/>
        <v/>
      </c>
      <c r="K61" s="29"/>
      <c r="L61" s="29"/>
      <c r="M61" s="29"/>
      <c r="N61" s="28">
        <f>IF(OR(C61="Ирина",C61="Обе"),Настройки!$B$3+IF(G61="",0,G61)*Настройки!$C$3,0)</f>
        <v>0</v>
      </c>
      <c r="O61" s="28">
        <f>IF(OR(C61="Татьяна",C61="Обе"),Настройки!$B$4+IF(J61="",0,J61)*Настройки!$C$4,0)</f>
        <v>0</v>
      </c>
      <c r="P61" s="29"/>
      <c r="Q61" s="28" t="str">
        <f t="shared" si="10"/>
        <v/>
      </c>
      <c r="R61" s="29"/>
      <c r="S61" s="28" t="str">
        <f t="shared" si="11"/>
        <v/>
      </c>
      <c r="T61" s="9" t="str">
        <f t="shared" si="12"/>
        <v/>
      </c>
      <c r="U61" s="10"/>
      <c r="V61" s="24" t="str">
        <f t="shared" si="13"/>
        <v/>
      </c>
    </row>
    <row r="62" spans="1:22">
      <c r="A62" s="20"/>
      <c r="B62" s="9" t="str">
        <f t="shared" si="7"/>
        <v/>
      </c>
      <c r="C62" s="10"/>
      <c r="D62" s="29"/>
      <c r="E62" s="29"/>
      <c r="F62" s="29"/>
      <c r="G62" s="28" t="str">
        <f t="shared" si="8"/>
        <v/>
      </c>
      <c r="H62" s="29"/>
      <c r="I62" s="29"/>
      <c r="J62" s="28" t="str">
        <f t="shared" si="9"/>
        <v/>
      </c>
      <c r="K62" s="29"/>
      <c r="L62" s="29"/>
      <c r="M62" s="29"/>
      <c r="N62" s="28">
        <f>IF(OR(C62="Ирина",C62="Обе"),Настройки!$B$3+IF(G62="",0,G62)*Настройки!$C$3,0)</f>
        <v>0</v>
      </c>
      <c r="O62" s="28">
        <f>IF(OR(C62="Татьяна",C62="Обе"),Настройки!$B$4+IF(J62="",0,J62)*Настройки!$C$4,0)</f>
        <v>0</v>
      </c>
      <c r="P62" s="29"/>
      <c r="Q62" s="28" t="str">
        <f t="shared" si="10"/>
        <v/>
      </c>
      <c r="R62" s="29"/>
      <c r="S62" s="28" t="str">
        <f t="shared" si="11"/>
        <v/>
      </c>
      <c r="T62" s="9" t="str">
        <f t="shared" si="12"/>
        <v/>
      </c>
      <c r="U62" s="10"/>
      <c r="V62" s="24" t="str">
        <f t="shared" si="13"/>
        <v/>
      </c>
    </row>
    <row r="63" spans="1:22">
      <c r="A63" s="20"/>
      <c r="B63" s="9" t="str">
        <f t="shared" si="7"/>
        <v/>
      </c>
      <c r="C63" s="10"/>
      <c r="D63" s="29"/>
      <c r="E63" s="29"/>
      <c r="F63" s="29"/>
      <c r="G63" s="28" t="str">
        <f t="shared" si="8"/>
        <v/>
      </c>
      <c r="H63" s="29"/>
      <c r="I63" s="29"/>
      <c r="J63" s="28" t="str">
        <f t="shared" si="9"/>
        <v/>
      </c>
      <c r="K63" s="29"/>
      <c r="L63" s="29"/>
      <c r="M63" s="29"/>
      <c r="N63" s="28">
        <f>IF(OR(C63="Ирина",C63="Обе"),Настройки!$B$3+IF(G63="",0,G63)*Настройки!$C$3,0)</f>
        <v>0</v>
      </c>
      <c r="O63" s="28">
        <f>IF(OR(C63="Татьяна",C63="Обе"),Настройки!$B$4+IF(J63="",0,J63)*Настройки!$C$4,0)</f>
        <v>0</v>
      </c>
      <c r="P63" s="29"/>
      <c r="Q63" s="28" t="str">
        <f t="shared" si="10"/>
        <v/>
      </c>
      <c r="R63" s="29"/>
      <c r="S63" s="28" t="str">
        <f t="shared" si="11"/>
        <v/>
      </c>
      <c r="T63" s="9" t="str">
        <f t="shared" si="12"/>
        <v/>
      </c>
      <c r="U63" s="10"/>
      <c r="V63" s="24" t="str">
        <f t="shared" si="13"/>
        <v/>
      </c>
    </row>
    <row r="64" spans="1:22">
      <c r="A64" s="20"/>
      <c r="B64" s="9" t="str">
        <f t="shared" si="7"/>
        <v/>
      </c>
      <c r="C64" s="10"/>
      <c r="D64" s="29"/>
      <c r="E64" s="29"/>
      <c r="F64" s="29"/>
      <c r="G64" s="28" t="str">
        <f t="shared" si="8"/>
        <v/>
      </c>
      <c r="H64" s="29"/>
      <c r="I64" s="29"/>
      <c r="J64" s="28" t="str">
        <f t="shared" si="9"/>
        <v/>
      </c>
      <c r="K64" s="29"/>
      <c r="L64" s="29"/>
      <c r="M64" s="29"/>
      <c r="N64" s="28">
        <f>IF(OR(C64="Ирина",C64="Обе"),Настройки!$B$3+IF(G64="",0,G64)*Настройки!$C$3,0)</f>
        <v>0</v>
      </c>
      <c r="O64" s="28">
        <f>IF(OR(C64="Татьяна",C64="Обе"),Настройки!$B$4+IF(J64="",0,J64)*Настройки!$C$4,0)</f>
        <v>0</v>
      </c>
      <c r="P64" s="29"/>
      <c r="Q64" s="28" t="str">
        <f t="shared" si="10"/>
        <v/>
      </c>
      <c r="R64" s="29"/>
      <c r="S64" s="28" t="str">
        <f t="shared" si="11"/>
        <v/>
      </c>
      <c r="T64" s="9" t="str">
        <f t="shared" si="12"/>
        <v/>
      </c>
      <c r="U64" s="10"/>
      <c r="V64" s="24" t="str">
        <f t="shared" si="13"/>
        <v/>
      </c>
    </row>
    <row r="65" spans="1:22">
      <c r="A65" s="20"/>
      <c r="B65" s="9" t="str">
        <f t="shared" si="7"/>
        <v/>
      </c>
      <c r="C65" s="10"/>
      <c r="D65" s="29"/>
      <c r="E65" s="29"/>
      <c r="F65" s="29"/>
      <c r="G65" s="28" t="str">
        <f t="shared" si="8"/>
        <v/>
      </c>
      <c r="H65" s="29"/>
      <c r="I65" s="29"/>
      <c r="J65" s="28" t="str">
        <f t="shared" si="9"/>
        <v/>
      </c>
      <c r="K65" s="29"/>
      <c r="L65" s="29"/>
      <c r="M65" s="29"/>
      <c r="N65" s="28">
        <f>IF(OR(C65="Ирина",C65="Обе"),Настройки!$B$3+IF(G65="",0,G65)*Настройки!$C$3,0)</f>
        <v>0</v>
      </c>
      <c r="O65" s="28">
        <f>IF(OR(C65="Татьяна",C65="Обе"),Настройки!$B$4+IF(J65="",0,J65)*Настройки!$C$4,0)</f>
        <v>0</v>
      </c>
      <c r="P65" s="29"/>
      <c r="Q65" s="28" t="str">
        <f t="shared" si="10"/>
        <v/>
      </c>
      <c r="R65" s="29"/>
      <c r="S65" s="28" t="str">
        <f t="shared" si="11"/>
        <v/>
      </c>
      <c r="T65" s="9" t="str">
        <f t="shared" si="12"/>
        <v/>
      </c>
      <c r="U65" s="10"/>
      <c r="V65" s="24" t="str">
        <f t="shared" si="13"/>
        <v/>
      </c>
    </row>
    <row r="66" spans="1:22">
      <c r="A66" s="20"/>
      <c r="B66" s="9" t="str">
        <f t="shared" ref="B66:B97" si="14">IF(A66="","",CHOOSE(WEEKDAY(A66,2),"понедельник","вторник","среда","четверг","пятница","суббота","воскресенье"))</f>
        <v/>
      </c>
      <c r="C66" s="10"/>
      <c r="D66" s="29"/>
      <c r="E66" s="29"/>
      <c r="F66" s="29"/>
      <c r="G66" s="28" t="str">
        <f t="shared" si="8"/>
        <v/>
      </c>
      <c r="H66" s="29"/>
      <c r="I66" s="29"/>
      <c r="J66" s="28" t="str">
        <f t="shared" si="9"/>
        <v/>
      </c>
      <c r="K66" s="29"/>
      <c r="L66" s="29"/>
      <c r="M66" s="29"/>
      <c r="N66" s="28">
        <f>IF(OR(C66="Ирина",C66="Обе"),Настройки!$B$3+IF(G66="",0,G66)*Настройки!$C$3,0)</f>
        <v>0</v>
      </c>
      <c r="O66" s="28">
        <f>IF(OR(C66="Татьяна",C66="Обе"),Настройки!$B$4+IF(J66="",0,J66)*Настройки!$C$4,0)</f>
        <v>0</v>
      </c>
      <c r="P66" s="29"/>
      <c r="Q66" s="28" t="str">
        <f t="shared" si="10"/>
        <v/>
      </c>
      <c r="R66" s="29"/>
      <c r="S66" s="28" t="str">
        <f t="shared" si="11"/>
        <v/>
      </c>
      <c r="T66" s="9" t="str">
        <f t="shared" si="12"/>
        <v/>
      </c>
      <c r="U66" s="10"/>
      <c r="V66" s="24" t="str">
        <f t="shared" si="13"/>
        <v/>
      </c>
    </row>
    <row r="67" spans="1:22">
      <c r="A67" s="20"/>
      <c r="B67" s="9" t="str">
        <f t="shared" si="14"/>
        <v/>
      </c>
      <c r="C67" s="10"/>
      <c r="D67" s="29"/>
      <c r="E67" s="29"/>
      <c r="F67" s="29"/>
      <c r="G67" s="28" t="str">
        <f t="shared" ref="G67:G98" si="15">IF(COUNTA(E67:F67)=0,"",SUM(E67:F67))</f>
        <v/>
      </c>
      <c r="H67" s="29"/>
      <c r="I67" s="29"/>
      <c r="J67" s="28" t="str">
        <f t="shared" ref="J67:J98" si="16">IF(COUNTA(H67:I67)=0,"",SUM(H67:I67))</f>
        <v/>
      </c>
      <c r="K67" s="29"/>
      <c r="L67" s="29"/>
      <c r="M67" s="29"/>
      <c r="N67" s="28">
        <f>IF(OR(C67="Ирина",C67="Обе"),Настройки!$B$3+IF(G67="",0,G67)*Настройки!$C$3,0)</f>
        <v>0</v>
      </c>
      <c r="O67" s="28">
        <f>IF(OR(C67="Татьяна",C67="Обе"),Настройки!$B$4+IF(J67="",0,J67)*Настройки!$C$4,0)</f>
        <v>0</v>
      </c>
      <c r="P67" s="29"/>
      <c r="Q67" s="28" t="str">
        <f t="shared" ref="Q67:Q98" si="17">IF(A67="","",D67+E67+H67+L67-K67-P67-M67)</f>
        <v/>
      </c>
      <c r="R67" s="29"/>
      <c r="S67" s="28" t="str">
        <f t="shared" ref="S67:S98" si="18">IF(ISNUMBER(R67),R67-Q67,"")</f>
        <v/>
      </c>
      <c r="T67" s="9" t="str">
        <f t="shared" ref="T67:T98" si="19">IF(ISNUMBER(S67),IF(S67=0,"✅ ВСЁ ТОЧНО",IF(S67&lt;0,"❌ НЕДОСТАЧА "&amp;TEXT(ABS(S67),"#,##0")&amp;" ₽","⚠️ ИЗЛИШЕК "&amp;TEXT(S67,"#,##0")&amp;" ₽")),"")</f>
        <v/>
      </c>
      <c r="U67" s="10"/>
      <c r="V67" s="24" t="str">
        <f t="shared" si="13"/>
        <v/>
      </c>
    </row>
    <row r="68" spans="1:22">
      <c r="A68" s="20"/>
      <c r="B68" s="9" t="str">
        <f t="shared" si="14"/>
        <v/>
      </c>
      <c r="C68" s="10"/>
      <c r="D68" s="29"/>
      <c r="E68" s="29"/>
      <c r="F68" s="29"/>
      <c r="G68" s="28" t="str">
        <f t="shared" si="15"/>
        <v/>
      </c>
      <c r="H68" s="29"/>
      <c r="I68" s="29"/>
      <c r="J68" s="28" t="str">
        <f t="shared" si="16"/>
        <v/>
      </c>
      <c r="K68" s="29"/>
      <c r="L68" s="29"/>
      <c r="M68" s="29"/>
      <c r="N68" s="28">
        <f>IF(OR(C68="Ирина",C68="Обе"),Настройки!$B$3+IF(G68="",0,G68)*Настройки!$C$3,0)</f>
        <v>0</v>
      </c>
      <c r="O68" s="28">
        <f>IF(OR(C68="Татьяна",C68="Обе"),Настройки!$B$4+IF(J68="",0,J68)*Настройки!$C$4,0)</f>
        <v>0</v>
      </c>
      <c r="P68" s="29"/>
      <c r="Q68" s="28" t="str">
        <f t="shared" si="17"/>
        <v/>
      </c>
      <c r="R68" s="29"/>
      <c r="S68" s="28" t="str">
        <f t="shared" si="18"/>
        <v/>
      </c>
      <c r="T68" s="9" t="str">
        <f t="shared" si="19"/>
        <v/>
      </c>
      <c r="U68" s="10"/>
      <c r="V68" s="24" t="str">
        <f t="shared" ref="V68:V102" si="20">IF(OR(A68="",C68="",R67=""),"",IF(D68=R67,"✅ ОК","⚠️ ПРОВЕРИТЬ"))</f>
        <v/>
      </c>
    </row>
    <row r="69" spans="1:22">
      <c r="A69" s="20"/>
      <c r="B69" s="9" t="str">
        <f t="shared" si="14"/>
        <v/>
      </c>
      <c r="C69" s="10"/>
      <c r="D69" s="29"/>
      <c r="E69" s="29"/>
      <c r="F69" s="29"/>
      <c r="G69" s="28" t="str">
        <f t="shared" si="15"/>
        <v/>
      </c>
      <c r="H69" s="29"/>
      <c r="I69" s="29"/>
      <c r="J69" s="28" t="str">
        <f t="shared" si="16"/>
        <v/>
      </c>
      <c r="K69" s="29"/>
      <c r="L69" s="29"/>
      <c r="M69" s="29"/>
      <c r="N69" s="28">
        <f>IF(OR(C69="Ирина",C69="Обе"),Настройки!$B$3+IF(G69="",0,G69)*Настройки!$C$3,0)</f>
        <v>0</v>
      </c>
      <c r="O69" s="28">
        <f>IF(OR(C69="Татьяна",C69="Обе"),Настройки!$B$4+IF(J69="",0,J69)*Настройки!$C$4,0)</f>
        <v>0</v>
      </c>
      <c r="P69" s="29"/>
      <c r="Q69" s="28" t="str">
        <f t="shared" si="17"/>
        <v/>
      </c>
      <c r="R69" s="29"/>
      <c r="S69" s="28" t="str">
        <f t="shared" si="18"/>
        <v/>
      </c>
      <c r="T69" s="9" t="str">
        <f t="shared" si="19"/>
        <v/>
      </c>
      <c r="U69" s="10"/>
      <c r="V69" s="24" t="str">
        <f t="shared" si="20"/>
        <v/>
      </c>
    </row>
    <row r="70" spans="1:22">
      <c r="A70" s="20"/>
      <c r="B70" s="9" t="str">
        <f t="shared" si="14"/>
        <v/>
      </c>
      <c r="C70" s="10"/>
      <c r="D70" s="29"/>
      <c r="E70" s="29"/>
      <c r="F70" s="29"/>
      <c r="G70" s="28" t="str">
        <f t="shared" si="15"/>
        <v/>
      </c>
      <c r="H70" s="29"/>
      <c r="I70" s="29"/>
      <c r="J70" s="28" t="str">
        <f t="shared" si="16"/>
        <v/>
      </c>
      <c r="K70" s="29"/>
      <c r="L70" s="29"/>
      <c r="M70" s="29"/>
      <c r="N70" s="28">
        <f>IF(OR(C70="Ирина",C70="Обе"),Настройки!$B$3+IF(G70="",0,G70)*Настройки!$C$3,0)</f>
        <v>0</v>
      </c>
      <c r="O70" s="28">
        <f>IF(OR(C70="Татьяна",C70="Обе"),Настройки!$B$4+IF(J70="",0,J70)*Настройки!$C$4,0)</f>
        <v>0</v>
      </c>
      <c r="P70" s="29"/>
      <c r="Q70" s="28" t="str">
        <f t="shared" si="17"/>
        <v/>
      </c>
      <c r="R70" s="29"/>
      <c r="S70" s="28" t="str">
        <f t="shared" si="18"/>
        <v/>
      </c>
      <c r="T70" s="9" t="str">
        <f t="shared" si="19"/>
        <v/>
      </c>
      <c r="U70" s="10"/>
      <c r="V70" s="24" t="str">
        <f t="shared" si="20"/>
        <v/>
      </c>
    </row>
    <row r="71" spans="1:22">
      <c r="A71" s="20"/>
      <c r="B71" s="9" t="str">
        <f t="shared" si="14"/>
        <v/>
      </c>
      <c r="C71" s="10"/>
      <c r="D71" s="29"/>
      <c r="E71" s="29"/>
      <c r="F71" s="29"/>
      <c r="G71" s="28" t="str">
        <f t="shared" si="15"/>
        <v/>
      </c>
      <c r="H71" s="29"/>
      <c r="I71" s="29"/>
      <c r="J71" s="28" t="str">
        <f t="shared" si="16"/>
        <v/>
      </c>
      <c r="K71" s="29"/>
      <c r="L71" s="29"/>
      <c r="M71" s="29"/>
      <c r="N71" s="28">
        <f>IF(OR(C71="Ирина",C71="Обе"),Настройки!$B$3+IF(G71="",0,G71)*Настройки!$C$3,0)</f>
        <v>0</v>
      </c>
      <c r="O71" s="28">
        <f>IF(OR(C71="Татьяна",C71="Обе"),Настройки!$B$4+IF(J71="",0,J71)*Настройки!$C$4,0)</f>
        <v>0</v>
      </c>
      <c r="P71" s="29"/>
      <c r="Q71" s="28" t="str">
        <f t="shared" si="17"/>
        <v/>
      </c>
      <c r="R71" s="29"/>
      <c r="S71" s="28" t="str">
        <f t="shared" si="18"/>
        <v/>
      </c>
      <c r="T71" s="9" t="str">
        <f t="shared" si="19"/>
        <v/>
      </c>
      <c r="U71" s="10"/>
      <c r="V71" s="24" t="str">
        <f t="shared" si="20"/>
        <v/>
      </c>
    </row>
    <row r="72" spans="1:22">
      <c r="A72" s="20"/>
      <c r="B72" s="9" t="str">
        <f t="shared" si="14"/>
        <v/>
      </c>
      <c r="C72" s="10"/>
      <c r="D72" s="29"/>
      <c r="E72" s="29"/>
      <c r="F72" s="29"/>
      <c r="G72" s="28" t="str">
        <f t="shared" si="15"/>
        <v/>
      </c>
      <c r="H72" s="29"/>
      <c r="I72" s="29"/>
      <c r="J72" s="28" t="str">
        <f t="shared" si="16"/>
        <v/>
      </c>
      <c r="K72" s="29"/>
      <c r="L72" s="29"/>
      <c r="M72" s="29"/>
      <c r="N72" s="28">
        <f>IF(OR(C72="Ирина",C72="Обе"),Настройки!$B$3+IF(G72="",0,G72)*Настройки!$C$3,0)</f>
        <v>0</v>
      </c>
      <c r="O72" s="28">
        <f>IF(OR(C72="Татьяна",C72="Обе"),Настройки!$B$4+IF(J72="",0,J72)*Настройки!$C$4,0)</f>
        <v>0</v>
      </c>
      <c r="P72" s="29"/>
      <c r="Q72" s="28" t="str">
        <f t="shared" si="17"/>
        <v/>
      </c>
      <c r="R72" s="29"/>
      <c r="S72" s="28" t="str">
        <f t="shared" si="18"/>
        <v/>
      </c>
      <c r="T72" s="9" t="str">
        <f t="shared" si="19"/>
        <v/>
      </c>
      <c r="U72" s="10"/>
      <c r="V72" s="24" t="str">
        <f t="shared" si="20"/>
        <v/>
      </c>
    </row>
    <row r="73" spans="1:22">
      <c r="A73" s="20"/>
      <c r="B73" s="9" t="str">
        <f t="shared" si="14"/>
        <v/>
      </c>
      <c r="C73" s="10"/>
      <c r="D73" s="29"/>
      <c r="E73" s="29"/>
      <c r="F73" s="29"/>
      <c r="G73" s="28" t="str">
        <f t="shared" si="15"/>
        <v/>
      </c>
      <c r="H73" s="29"/>
      <c r="I73" s="29"/>
      <c r="J73" s="28" t="str">
        <f t="shared" si="16"/>
        <v/>
      </c>
      <c r="K73" s="29"/>
      <c r="L73" s="29"/>
      <c r="M73" s="29"/>
      <c r="N73" s="28">
        <f>IF(OR(C73="Ирина",C73="Обе"),Настройки!$B$3+IF(G73="",0,G73)*Настройки!$C$3,0)</f>
        <v>0</v>
      </c>
      <c r="O73" s="28">
        <f>IF(OR(C73="Татьяна",C73="Обе"),Настройки!$B$4+IF(J73="",0,J73)*Настройки!$C$4,0)</f>
        <v>0</v>
      </c>
      <c r="P73" s="29"/>
      <c r="Q73" s="28" t="str">
        <f t="shared" si="17"/>
        <v/>
      </c>
      <c r="R73" s="29"/>
      <c r="S73" s="28" t="str">
        <f t="shared" si="18"/>
        <v/>
      </c>
      <c r="T73" s="9" t="str">
        <f t="shared" si="19"/>
        <v/>
      </c>
      <c r="U73" s="10"/>
      <c r="V73" s="24" t="str">
        <f t="shared" si="20"/>
        <v/>
      </c>
    </row>
    <row r="74" spans="1:22">
      <c r="A74" s="20"/>
      <c r="B74" s="9" t="str">
        <f t="shared" si="14"/>
        <v/>
      </c>
      <c r="C74" s="10"/>
      <c r="D74" s="29"/>
      <c r="E74" s="29"/>
      <c r="F74" s="29"/>
      <c r="G74" s="28" t="str">
        <f t="shared" si="15"/>
        <v/>
      </c>
      <c r="H74" s="29"/>
      <c r="I74" s="29"/>
      <c r="J74" s="28" t="str">
        <f t="shared" si="16"/>
        <v/>
      </c>
      <c r="K74" s="29"/>
      <c r="L74" s="29"/>
      <c r="M74" s="29"/>
      <c r="N74" s="28">
        <f>IF(OR(C74="Ирина",C74="Обе"),Настройки!$B$3+IF(G74="",0,G74)*Настройки!$C$3,0)</f>
        <v>0</v>
      </c>
      <c r="O74" s="28">
        <f>IF(OR(C74="Татьяна",C74="Обе"),Настройки!$B$4+IF(J74="",0,J74)*Настройки!$C$4,0)</f>
        <v>0</v>
      </c>
      <c r="P74" s="29"/>
      <c r="Q74" s="28" t="str">
        <f t="shared" si="17"/>
        <v/>
      </c>
      <c r="R74" s="29"/>
      <c r="S74" s="28" t="str">
        <f t="shared" si="18"/>
        <v/>
      </c>
      <c r="T74" s="9" t="str">
        <f t="shared" si="19"/>
        <v/>
      </c>
      <c r="U74" s="10"/>
      <c r="V74" s="24" t="str">
        <f t="shared" si="20"/>
        <v/>
      </c>
    </row>
    <row r="75" spans="1:22">
      <c r="A75" s="20"/>
      <c r="B75" s="9" t="str">
        <f t="shared" si="14"/>
        <v/>
      </c>
      <c r="C75" s="10"/>
      <c r="D75" s="29"/>
      <c r="E75" s="29"/>
      <c r="F75" s="29"/>
      <c r="G75" s="28" t="str">
        <f t="shared" si="15"/>
        <v/>
      </c>
      <c r="H75" s="29"/>
      <c r="I75" s="29"/>
      <c r="J75" s="28" t="str">
        <f t="shared" si="16"/>
        <v/>
      </c>
      <c r="K75" s="29"/>
      <c r="L75" s="29"/>
      <c r="M75" s="29"/>
      <c r="N75" s="28">
        <f>IF(OR(C75="Ирина",C75="Обе"),Настройки!$B$3+IF(G75="",0,G75)*Настройки!$C$3,0)</f>
        <v>0</v>
      </c>
      <c r="O75" s="28">
        <f>IF(OR(C75="Татьяна",C75="Обе"),Настройки!$B$4+IF(J75="",0,J75)*Настройки!$C$4,0)</f>
        <v>0</v>
      </c>
      <c r="P75" s="29"/>
      <c r="Q75" s="28" t="str">
        <f t="shared" si="17"/>
        <v/>
      </c>
      <c r="R75" s="29"/>
      <c r="S75" s="28" t="str">
        <f t="shared" si="18"/>
        <v/>
      </c>
      <c r="T75" s="9" t="str">
        <f t="shared" si="19"/>
        <v/>
      </c>
      <c r="U75" s="10"/>
      <c r="V75" s="24" t="str">
        <f t="shared" si="20"/>
        <v/>
      </c>
    </row>
    <row r="76" spans="1:22">
      <c r="A76" s="20"/>
      <c r="B76" s="9" t="str">
        <f t="shared" si="14"/>
        <v/>
      </c>
      <c r="C76" s="10"/>
      <c r="D76" s="29"/>
      <c r="E76" s="29"/>
      <c r="F76" s="29"/>
      <c r="G76" s="28" t="str">
        <f t="shared" si="15"/>
        <v/>
      </c>
      <c r="H76" s="29"/>
      <c r="I76" s="29"/>
      <c r="J76" s="28" t="str">
        <f t="shared" si="16"/>
        <v/>
      </c>
      <c r="K76" s="29"/>
      <c r="L76" s="29"/>
      <c r="M76" s="29"/>
      <c r="N76" s="28">
        <f>IF(OR(C76="Ирина",C76="Обе"),Настройки!$B$3+IF(G76="",0,G76)*Настройки!$C$3,0)</f>
        <v>0</v>
      </c>
      <c r="O76" s="28">
        <f>IF(OR(C76="Татьяна",C76="Обе"),Настройки!$B$4+IF(J76="",0,J76)*Настройки!$C$4,0)</f>
        <v>0</v>
      </c>
      <c r="P76" s="29"/>
      <c r="Q76" s="28" t="str">
        <f t="shared" si="17"/>
        <v/>
      </c>
      <c r="R76" s="29"/>
      <c r="S76" s="28" t="str">
        <f t="shared" si="18"/>
        <v/>
      </c>
      <c r="T76" s="9" t="str">
        <f t="shared" si="19"/>
        <v/>
      </c>
      <c r="U76" s="10"/>
      <c r="V76" s="24" t="str">
        <f t="shared" si="20"/>
        <v/>
      </c>
    </row>
    <row r="77" spans="1:22">
      <c r="A77" s="20"/>
      <c r="B77" s="9" t="str">
        <f t="shared" si="14"/>
        <v/>
      </c>
      <c r="C77" s="10"/>
      <c r="D77" s="29"/>
      <c r="E77" s="29"/>
      <c r="F77" s="29"/>
      <c r="G77" s="28" t="str">
        <f t="shared" si="15"/>
        <v/>
      </c>
      <c r="H77" s="29"/>
      <c r="I77" s="29"/>
      <c r="J77" s="28" t="str">
        <f t="shared" si="16"/>
        <v/>
      </c>
      <c r="K77" s="29"/>
      <c r="L77" s="29"/>
      <c r="M77" s="29"/>
      <c r="N77" s="28">
        <f>IF(OR(C77="Ирина",C77="Обе"),Настройки!$B$3+IF(G77="",0,G77)*Настройки!$C$3,0)</f>
        <v>0</v>
      </c>
      <c r="O77" s="28">
        <f>IF(OR(C77="Татьяна",C77="Обе"),Настройки!$B$4+IF(J77="",0,J77)*Настройки!$C$4,0)</f>
        <v>0</v>
      </c>
      <c r="P77" s="29"/>
      <c r="Q77" s="28" t="str">
        <f t="shared" si="17"/>
        <v/>
      </c>
      <c r="R77" s="29"/>
      <c r="S77" s="28" t="str">
        <f t="shared" si="18"/>
        <v/>
      </c>
      <c r="T77" s="9" t="str">
        <f t="shared" si="19"/>
        <v/>
      </c>
      <c r="U77" s="10"/>
      <c r="V77" s="24" t="str">
        <f t="shared" si="20"/>
        <v/>
      </c>
    </row>
    <row r="78" spans="1:22">
      <c r="A78" s="20"/>
      <c r="B78" s="9" t="str">
        <f t="shared" si="14"/>
        <v/>
      </c>
      <c r="C78" s="10"/>
      <c r="D78" s="29"/>
      <c r="E78" s="29"/>
      <c r="F78" s="29"/>
      <c r="G78" s="28" t="str">
        <f t="shared" si="15"/>
        <v/>
      </c>
      <c r="H78" s="29"/>
      <c r="I78" s="29"/>
      <c r="J78" s="28" t="str">
        <f t="shared" si="16"/>
        <v/>
      </c>
      <c r="K78" s="29"/>
      <c r="L78" s="29"/>
      <c r="M78" s="29"/>
      <c r="N78" s="28">
        <f>IF(OR(C78="Ирина",C78="Обе"),Настройки!$B$3+IF(G78="",0,G78)*Настройки!$C$3,0)</f>
        <v>0</v>
      </c>
      <c r="O78" s="28">
        <f>IF(OR(C78="Татьяна",C78="Обе"),Настройки!$B$4+IF(J78="",0,J78)*Настройки!$C$4,0)</f>
        <v>0</v>
      </c>
      <c r="P78" s="29"/>
      <c r="Q78" s="28" t="str">
        <f t="shared" si="17"/>
        <v/>
      </c>
      <c r="R78" s="29"/>
      <c r="S78" s="28" t="str">
        <f t="shared" si="18"/>
        <v/>
      </c>
      <c r="T78" s="9" t="str">
        <f t="shared" si="19"/>
        <v/>
      </c>
      <c r="U78" s="10"/>
      <c r="V78" s="24" t="str">
        <f t="shared" si="20"/>
        <v/>
      </c>
    </row>
    <row r="79" spans="1:22">
      <c r="A79" s="20"/>
      <c r="B79" s="9" t="str">
        <f t="shared" si="14"/>
        <v/>
      </c>
      <c r="C79" s="10"/>
      <c r="D79" s="29"/>
      <c r="E79" s="29"/>
      <c r="F79" s="29"/>
      <c r="G79" s="28" t="str">
        <f t="shared" si="15"/>
        <v/>
      </c>
      <c r="H79" s="29"/>
      <c r="I79" s="29"/>
      <c r="J79" s="28" t="str">
        <f t="shared" si="16"/>
        <v/>
      </c>
      <c r="K79" s="29"/>
      <c r="L79" s="29"/>
      <c r="M79" s="29"/>
      <c r="N79" s="28">
        <f>IF(OR(C79="Ирина",C79="Обе"),Настройки!$B$3+IF(G79="",0,G79)*Настройки!$C$3,0)</f>
        <v>0</v>
      </c>
      <c r="O79" s="28">
        <f>IF(OR(C79="Татьяна",C79="Обе"),Настройки!$B$4+IF(J79="",0,J79)*Настройки!$C$4,0)</f>
        <v>0</v>
      </c>
      <c r="P79" s="29"/>
      <c r="Q79" s="28" t="str">
        <f t="shared" si="17"/>
        <v/>
      </c>
      <c r="R79" s="29"/>
      <c r="S79" s="28" t="str">
        <f t="shared" si="18"/>
        <v/>
      </c>
      <c r="T79" s="9" t="str">
        <f t="shared" si="19"/>
        <v/>
      </c>
      <c r="U79" s="10"/>
      <c r="V79" s="24" t="str">
        <f t="shared" si="20"/>
        <v/>
      </c>
    </row>
    <row r="80" spans="1:22">
      <c r="A80" s="20"/>
      <c r="B80" s="9" t="str">
        <f t="shared" si="14"/>
        <v/>
      </c>
      <c r="C80" s="10"/>
      <c r="D80" s="29"/>
      <c r="E80" s="29"/>
      <c r="F80" s="29"/>
      <c r="G80" s="28" t="str">
        <f t="shared" si="15"/>
        <v/>
      </c>
      <c r="H80" s="29"/>
      <c r="I80" s="29"/>
      <c r="J80" s="28" t="str">
        <f t="shared" si="16"/>
        <v/>
      </c>
      <c r="K80" s="29"/>
      <c r="L80" s="29"/>
      <c r="M80" s="29"/>
      <c r="N80" s="28">
        <f>IF(OR(C80="Ирина",C80="Обе"),Настройки!$B$3+IF(G80="",0,G80)*Настройки!$C$3,0)</f>
        <v>0</v>
      </c>
      <c r="O80" s="28">
        <f>IF(OR(C80="Татьяна",C80="Обе"),Настройки!$B$4+IF(J80="",0,J80)*Настройки!$C$4,0)</f>
        <v>0</v>
      </c>
      <c r="P80" s="29"/>
      <c r="Q80" s="28" t="str">
        <f t="shared" si="17"/>
        <v/>
      </c>
      <c r="R80" s="29"/>
      <c r="S80" s="28" t="str">
        <f t="shared" si="18"/>
        <v/>
      </c>
      <c r="T80" s="9" t="str">
        <f t="shared" si="19"/>
        <v/>
      </c>
      <c r="U80" s="10"/>
      <c r="V80" s="24" t="str">
        <f t="shared" si="20"/>
        <v/>
      </c>
    </row>
    <row r="81" spans="1:22">
      <c r="A81" s="20"/>
      <c r="B81" s="9" t="str">
        <f t="shared" si="14"/>
        <v/>
      </c>
      <c r="C81" s="10"/>
      <c r="D81" s="29"/>
      <c r="E81" s="29"/>
      <c r="F81" s="29"/>
      <c r="G81" s="28" t="str">
        <f t="shared" si="15"/>
        <v/>
      </c>
      <c r="H81" s="29"/>
      <c r="I81" s="29"/>
      <c r="J81" s="28" t="str">
        <f t="shared" si="16"/>
        <v/>
      </c>
      <c r="K81" s="29"/>
      <c r="L81" s="29"/>
      <c r="M81" s="29"/>
      <c r="N81" s="28">
        <f>IF(OR(C81="Ирина",C81="Обе"),Настройки!$B$3+IF(G81="",0,G81)*Настройки!$C$3,0)</f>
        <v>0</v>
      </c>
      <c r="O81" s="28">
        <f>IF(OR(C81="Татьяна",C81="Обе"),Настройки!$B$4+IF(J81="",0,J81)*Настройки!$C$4,0)</f>
        <v>0</v>
      </c>
      <c r="P81" s="29"/>
      <c r="Q81" s="28" t="str">
        <f t="shared" si="17"/>
        <v/>
      </c>
      <c r="R81" s="29"/>
      <c r="S81" s="28" t="str">
        <f t="shared" si="18"/>
        <v/>
      </c>
      <c r="T81" s="9" t="str">
        <f t="shared" si="19"/>
        <v/>
      </c>
      <c r="U81" s="10"/>
      <c r="V81" s="24" t="str">
        <f t="shared" si="20"/>
        <v/>
      </c>
    </row>
    <row r="82" spans="1:22">
      <c r="A82" s="20"/>
      <c r="B82" s="9" t="str">
        <f t="shared" si="14"/>
        <v/>
      </c>
      <c r="C82" s="10"/>
      <c r="D82" s="29"/>
      <c r="E82" s="29"/>
      <c r="F82" s="29"/>
      <c r="G82" s="28" t="str">
        <f t="shared" si="15"/>
        <v/>
      </c>
      <c r="H82" s="29"/>
      <c r="I82" s="29"/>
      <c r="J82" s="28" t="str">
        <f t="shared" si="16"/>
        <v/>
      </c>
      <c r="K82" s="29"/>
      <c r="L82" s="29"/>
      <c r="M82" s="29"/>
      <c r="N82" s="28">
        <f>IF(OR(C82="Ирина",C82="Обе"),Настройки!$B$3+IF(G82="",0,G82)*Настройки!$C$3,0)</f>
        <v>0</v>
      </c>
      <c r="O82" s="28">
        <f>IF(OR(C82="Татьяна",C82="Обе"),Настройки!$B$4+IF(J82="",0,J82)*Настройки!$C$4,0)</f>
        <v>0</v>
      </c>
      <c r="P82" s="29"/>
      <c r="Q82" s="28" t="str">
        <f t="shared" si="17"/>
        <v/>
      </c>
      <c r="R82" s="29"/>
      <c r="S82" s="28" t="str">
        <f t="shared" si="18"/>
        <v/>
      </c>
      <c r="T82" s="9" t="str">
        <f t="shared" si="19"/>
        <v/>
      </c>
      <c r="U82" s="10"/>
      <c r="V82" s="24" t="str">
        <f t="shared" si="20"/>
        <v/>
      </c>
    </row>
    <row r="83" spans="1:22">
      <c r="A83" s="20"/>
      <c r="B83" s="9" t="str">
        <f t="shared" si="14"/>
        <v/>
      </c>
      <c r="C83" s="10"/>
      <c r="D83" s="29"/>
      <c r="E83" s="29"/>
      <c r="F83" s="29"/>
      <c r="G83" s="28" t="str">
        <f t="shared" si="15"/>
        <v/>
      </c>
      <c r="H83" s="29"/>
      <c r="I83" s="29"/>
      <c r="J83" s="28" t="str">
        <f t="shared" si="16"/>
        <v/>
      </c>
      <c r="K83" s="29"/>
      <c r="L83" s="29"/>
      <c r="M83" s="29"/>
      <c r="N83" s="28">
        <f>IF(OR(C83="Ирина",C83="Обе"),Настройки!$B$3+IF(G83="",0,G83)*Настройки!$C$3,0)</f>
        <v>0</v>
      </c>
      <c r="O83" s="28">
        <f>IF(OR(C83="Татьяна",C83="Обе"),Настройки!$B$4+IF(J83="",0,J83)*Настройки!$C$4,0)</f>
        <v>0</v>
      </c>
      <c r="P83" s="29"/>
      <c r="Q83" s="28" t="str">
        <f t="shared" si="17"/>
        <v/>
      </c>
      <c r="R83" s="29"/>
      <c r="S83" s="28" t="str">
        <f t="shared" si="18"/>
        <v/>
      </c>
      <c r="T83" s="9" t="str">
        <f t="shared" si="19"/>
        <v/>
      </c>
      <c r="U83" s="10"/>
      <c r="V83" s="24" t="str">
        <f t="shared" si="20"/>
        <v/>
      </c>
    </row>
    <row r="84" spans="1:22">
      <c r="A84" s="20"/>
      <c r="B84" s="9" t="str">
        <f t="shared" si="14"/>
        <v/>
      </c>
      <c r="C84" s="10"/>
      <c r="D84" s="29"/>
      <c r="E84" s="29"/>
      <c r="F84" s="29"/>
      <c r="G84" s="28" t="str">
        <f t="shared" si="15"/>
        <v/>
      </c>
      <c r="H84" s="29"/>
      <c r="I84" s="29"/>
      <c r="J84" s="28" t="str">
        <f t="shared" si="16"/>
        <v/>
      </c>
      <c r="K84" s="29"/>
      <c r="L84" s="29"/>
      <c r="M84" s="29"/>
      <c r="N84" s="28">
        <f>IF(OR(C84="Ирина",C84="Обе"),Настройки!$B$3+IF(G84="",0,G84)*Настройки!$C$3,0)</f>
        <v>0</v>
      </c>
      <c r="O84" s="28">
        <f>IF(OR(C84="Татьяна",C84="Обе"),Настройки!$B$4+IF(J84="",0,J84)*Настройки!$C$4,0)</f>
        <v>0</v>
      </c>
      <c r="P84" s="29"/>
      <c r="Q84" s="28" t="str">
        <f t="shared" si="17"/>
        <v/>
      </c>
      <c r="R84" s="29"/>
      <c r="S84" s="28" t="str">
        <f t="shared" si="18"/>
        <v/>
      </c>
      <c r="T84" s="9" t="str">
        <f t="shared" si="19"/>
        <v/>
      </c>
      <c r="U84" s="10"/>
      <c r="V84" s="24" t="str">
        <f t="shared" si="20"/>
        <v/>
      </c>
    </row>
    <row r="85" spans="1:22">
      <c r="A85" s="20"/>
      <c r="B85" s="9" t="str">
        <f t="shared" si="14"/>
        <v/>
      </c>
      <c r="C85" s="10"/>
      <c r="D85" s="29"/>
      <c r="E85" s="29"/>
      <c r="F85" s="29"/>
      <c r="G85" s="28" t="str">
        <f t="shared" si="15"/>
        <v/>
      </c>
      <c r="H85" s="29"/>
      <c r="I85" s="29"/>
      <c r="J85" s="28" t="str">
        <f t="shared" si="16"/>
        <v/>
      </c>
      <c r="K85" s="29"/>
      <c r="L85" s="29"/>
      <c r="M85" s="29"/>
      <c r="N85" s="28">
        <f>IF(OR(C85="Ирина",C85="Обе"),Настройки!$B$3+IF(G85="",0,G85)*Настройки!$C$3,0)</f>
        <v>0</v>
      </c>
      <c r="O85" s="28">
        <f>IF(OR(C85="Татьяна",C85="Обе"),Настройки!$B$4+IF(J85="",0,J85)*Настройки!$C$4,0)</f>
        <v>0</v>
      </c>
      <c r="P85" s="29"/>
      <c r="Q85" s="28" t="str">
        <f t="shared" si="17"/>
        <v/>
      </c>
      <c r="R85" s="29"/>
      <c r="S85" s="28" t="str">
        <f t="shared" si="18"/>
        <v/>
      </c>
      <c r="T85" s="9" t="str">
        <f t="shared" si="19"/>
        <v/>
      </c>
      <c r="U85" s="10"/>
      <c r="V85" s="24" t="str">
        <f t="shared" si="20"/>
        <v/>
      </c>
    </row>
    <row r="86" spans="1:22">
      <c r="A86" s="20"/>
      <c r="B86" s="9" t="str">
        <f t="shared" si="14"/>
        <v/>
      </c>
      <c r="C86" s="10"/>
      <c r="D86" s="29"/>
      <c r="E86" s="29"/>
      <c r="F86" s="29"/>
      <c r="G86" s="28" t="str">
        <f t="shared" si="15"/>
        <v/>
      </c>
      <c r="H86" s="29"/>
      <c r="I86" s="29"/>
      <c r="J86" s="28" t="str">
        <f t="shared" si="16"/>
        <v/>
      </c>
      <c r="K86" s="29"/>
      <c r="L86" s="29"/>
      <c r="M86" s="29"/>
      <c r="N86" s="28">
        <f>IF(OR(C86="Ирина",C86="Обе"),Настройки!$B$3+IF(G86="",0,G86)*Настройки!$C$3,0)</f>
        <v>0</v>
      </c>
      <c r="O86" s="28">
        <f>IF(OR(C86="Татьяна",C86="Обе"),Настройки!$B$4+IF(J86="",0,J86)*Настройки!$C$4,0)</f>
        <v>0</v>
      </c>
      <c r="P86" s="29"/>
      <c r="Q86" s="28" t="str">
        <f t="shared" si="17"/>
        <v/>
      </c>
      <c r="R86" s="29"/>
      <c r="S86" s="28" t="str">
        <f t="shared" si="18"/>
        <v/>
      </c>
      <c r="T86" s="9" t="str">
        <f t="shared" si="19"/>
        <v/>
      </c>
      <c r="U86" s="10"/>
      <c r="V86" s="24" t="str">
        <f t="shared" si="20"/>
        <v/>
      </c>
    </row>
    <row r="87" spans="1:22">
      <c r="A87" s="20"/>
      <c r="B87" s="9" t="str">
        <f t="shared" si="14"/>
        <v/>
      </c>
      <c r="C87" s="10"/>
      <c r="D87" s="29"/>
      <c r="E87" s="29"/>
      <c r="F87" s="29"/>
      <c r="G87" s="28" t="str">
        <f t="shared" si="15"/>
        <v/>
      </c>
      <c r="H87" s="29"/>
      <c r="I87" s="29"/>
      <c r="J87" s="28" t="str">
        <f t="shared" si="16"/>
        <v/>
      </c>
      <c r="K87" s="29"/>
      <c r="L87" s="29"/>
      <c r="M87" s="29"/>
      <c r="N87" s="28">
        <f>IF(OR(C87="Ирина",C87="Обе"),Настройки!$B$3+IF(G87="",0,G87)*Настройки!$C$3,0)</f>
        <v>0</v>
      </c>
      <c r="O87" s="28">
        <f>IF(OR(C87="Татьяна",C87="Обе"),Настройки!$B$4+IF(J87="",0,J87)*Настройки!$C$4,0)</f>
        <v>0</v>
      </c>
      <c r="P87" s="29"/>
      <c r="Q87" s="28" t="str">
        <f t="shared" si="17"/>
        <v/>
      </c>
      <c r="R87" s="29"/>
      <c r="S87" s="28" t="str">
        <f t="shared" si="18"/>
        <v/>
      </c>
      <c r="T87" s="9" t="str">
        <f t="shared" si="19"/>
        <v/>
      </c>
      <c r="U87" s="10"/>
      <c r="V87" s="24" t="str">
        <f t="shared" si="20"/>
        <v/>
      </c>
    </row>
    <row r="88" spans="1:22">
      <c r="A88" s="20"/>
      <c r="B88" s="9" t="str">
        <f t="shared" si="14"/>
        <v/>
      </c>
      <c r="C88" s="10"/>
      <c r="D88" s="29"/>
      <c r="E88" s="29"/>
      <c r="F88" s="29"/>
      <c r="G88" s="28" t="str">
        <f t="shared" si="15"/>
        <v/>
      </c>
      <c r="H88" s="29"/>
      <c r="I88" s="29"/>
      <c r="J88" s="28" t="str">
        <f t="shared" si="16"/>
        <v/>
      </c>
      <c r="K88" s="29"/>
      <c r="L88" s="29"/>
      <c r="M88" s="29"/>
      <c r="N88" s="28">
        <f>IF(OR(C88="Ирина",C88="Обе"),Настройки!$B$3+IF(G88="",0,G88)*Настройки!$C$3,0)</f>
        <v>0</v>
      </c>
      <c r="O88" s="28">
        <f>IF(OR(C88="Татьяна",C88="Обе"),Настройки!$B$4+IF(J88="",0,J88)*Настройки!$C$4,0)</f>
        <v>0</v>
      </c>
      <c r="P88" s="29"/>
      <c r="Q88" s="28" t="str">
        <f t="shared" si="17"/>
        <v/>
      </c>
      <c r="R88" s="29"/>
      <c r="S88" s="28" t="str">
        <f t="shared" si="18"/>
        <v/>
      </c>
      <c r="T88" s="9" t="str">
        <f t="shared" si="19"/>
        <v/>
      </c>
      <c r="U88" s="10"/>
      <c r="V88" s="24" t="str">
        <f t="shared" si="20"/>
        <v/>
      </c>
    </row>
    <row r="89" spans="1:22">
      <c r="A89" s="20"/>
      <c r="B89" s="9" t="str">
        <f t="shared" si="14"/>
        <v/>
      </c>
      <c r="C89" s="10"/>
      <c r="D89" s="29"/>
      <c r="E89" s="29"/>
      <c r="F89" s="29"/>
      <c r="G89" s="28" t="str">
        <f t="shared" si="15"/>
        <v/>
      </c>
      <c r="H89" s="29"/>
      <c r="I89" s="29"/>
      <c r="J89" s="28" t="str">
        <f t="shared" si="16"/>
        <v/>
      </c>
      <c r="K89" s="29"/>
      <c r="L89" s="29"/>
      <c r="M89" s="29"/>
      <c r="N89" s="28">
        <f>IF(OR(C89="Ирина",C89="Обе"),Настройки!$B$3+IF(G89="",0,G89)*Настройки!$C$3,0)</f>
        <v>0</v>
      </c>
      <c r="O89" s="28">
        <f>IF(OR(C89="Татьяна",C89="Обе"),Настройки!$B$4+IF(J89="",0,J89)*Настройки!$C$4,0)</f>
        <v>0</v>
      </c>
      <c r="P89" s="29"/>
      <c r="Q89" s="28" t="str">
        <f t="shared" si="17"/>
        <v/>
      </c>
      <c r="R89" s="29"/>
      <c r="S89" s="28" t="str">
        <f t="shared" si="18"/>
        <v/>
      </c>
      <c r="T89" s="9" t="str">
        <f t="shared" si="19"/>
        <v/>
      </c>
      <c r="U89" s="10"/>
      <c r="V89" s="24" t="str">
        <f t="shared" si="20"/>
        <v/>
      </c>
    </row>
    <row r="90" spans="1:22">
      <c r="A90" s="20"/>
      <c r="B90" s="9" t="str">
        <f t="shared" si="14"/>
        <v/>
      </c>
      <c r="C90" s="10"/>
      <c r="D90" s="29"/>
      <c r="E90" s="29"/>
      <c r="F90" s="29"/>
      <c r="G90" s="28" t="str">
        <f t="shared" si="15"/>
        <v/>
      </c>
      <c r="H90" s="29"/>
      <c r="I90" s="29"/>
      <c r="J90" s="28" t="str">
        <f t="shared" si="16"/>
        <v/>
      </c>
      <c r="K90" s="29"/>
      <c r="L90" s="29"/>
      <c r="M90" s="29"/>
      <c r="N90" s="28">
        <f>IF(OR(C90="Ирина",C90="Обе"),Настройки!$B$3+IF(G90="",0,G90)*Настройки!$C$3,0)</f>
        <v>0</v>
      </c>
      <c r="O90" s="28">
        <f>IF(OR(C90="Татьяна",C90="Обе"),Настройки!$B$4+IF(J90="",0,J90)*Настройки!$C$4,0)</f>
        <v>0</v>
      </c>
      <c r="P90" s="29"/>
      <c r="Q90" s="28" t="str">
        <f t="shared" si="17"/>
        <v/>
      </c>
      <c r="R90" s="29"/>
      <c r="S90" s="28" t="str">
        <f t="shared" si="18"/>
        <v/>
      </c>
      <c r="T90" s="9" t="str">
        <f t="shared" si="19"/>
        <v/>
      </c>
      <c r="U90" s="10"/>
      <c r="V90" s="24" t="str">
        <f t="shared" si="20"/>
        <v/>
      </c>
    </row>
    <row r="91" spans="1:22">
      <c r="A91" s="20"/>
      <c r="B91" s="9" t="str">
        <f t="shared" si="14"/>
        <v/>
      </c>
      <c r="C91" s="10"/>
      <c r="D91" s="29"/>
      <c r="E91" s="29"/>
      <c r="F91" s="29"/>
      <c r="G91" s="28" t="str">
        <f t="shared" si="15"/>
        <v/>
      </c>
      <c r="H91" s="29"/>
      <c r="I91" s="29"/>
      <c r="J91" s="28" t="str">
        <f t="shared" si="16"/>
        <v/>
      </c>
      <c r="K91" s="29"/>
      <c r="L91" s="29"/>
      <c r="M91" s="29"/>
      <c r="N91" s="28">
        <f>IF(OR(C91="Ирина",C91="Обе"),Настройки!$B$3+IF(G91="",0,G91)*Настройки!$C$3,0)</f>
        <v>0</v>
      </c>
      <c r="O91" s="28">
        <f>IF(OR(C91="Татьяна",C91="Обе"),Настройки!$B$4+IF(J91="",0,J91)*Настройки!$C$4,0)</f>
        <v>0</v>
      </c>
      <c r="P91" s="29"/>
      <c r="Q91" s="28" t="str">
        <f t="shared" si="17"/>
        <v/>
      </c>
      <c r="R91" s="29"/>
      <c r="S91" s="28" t="str">
        <f t="shared" si="18"/>
        <v/>
      </c>
      <c r="T91" s="9" t="str">
        <f t="shared" si="19"/>
        <v/>
      </c>
      <c r="U91" s="10"/>
      <c r="V91" s="24" t="str">
        <f t="shared" si="20"/>
        <v/>
      </c>
    </row>
    <row r="92" spans="1:22">
      <c r="A92" s="20"/>
      <c r="B92" s="9" t="str">
        <f t="shared" si="14"/>
        <v/>
      </c>
      <c r="C92" s="10"/>
      <c r="D92" s="29"/>
      <c r="E92" s="29"/>
      <c r="F92" s="29"/>
      <c r="G92" s="28" t="str">
        <f t="shared" si="15"/>
        <v/>
      </c>
      <c r="H92" s="29"/>
      <c r="I92" s="29"/>
      <c r="J92" s="28" t="str">
        <f t="shared" si="16"/>
        <v/>
      </c>
      <c r="K92" s="29"/>
      <c r="L92" s="29"/>
      <c r="M92" s="29"/>
      <c r="N92" s="28">
        <f>IF(OR(C92="Ирина",C92="Обе"),Настройки!$B$3+IF(G92="",0,G92)*Настройки!$C$3,0)</f>
        <v>0</v>
      </c>
      <c r="O92" s="28">
        <f>IF(OR(C92="Татьяна",C92="Обе"),Настройки!$B$4+IF(J92="",0,J92)*Настройки!$C$4,0)</f>
        <v>0</v>
      </c>
      <c r="P92" s="29"/>
      <c r="Q92" s="28" t="str">
        <f t="shared" si="17"/>
        <v/>
      </c>
      <c r="R92" s="29"/>
      <c r="S92" s="28" t="str">
        <f t="shared" si="18"/>
        <v/>
      </c>
      <c r="T92" s="9" t="str">
        <f t="shared" si="19"/>
        <v/>
      </c>
      <c r="U92" s="10"/>
      <c r="V92" s="24" t="str">
        <f t="shared" si="20"/>
        <v/>
      </c>
    </row>
    <row r="93" spans="1:22">
      <c r="A93" s="20"/>
      <c r="B93" s="9" t="str">
        <f t="shared" si="14"/>
        <v/>
      </c>
      <c r="C93" s="10"/>
      <c r="D93" s="29"/>
      <c r="E93" s="29"/>
      <c r="F93" s="29"/>
      <c r="G93" s="28" t="str">
        <f t="shared" si="15"/>
        <v/>
      </c>
      <c r="H93" s="29"/>
      <c r="I93" s="29"/>
      <c r="J93" s="28" t="str">
        <f t="shared" si="16"/>
        <v/>
      </c>
      <c r="K93" s="29"/>
      <c r="L93" s="29"/>
      <c r="M93" s="29"/>
      <c r="N93" s="28">
        <f>IF(OR(C93="Ирина",C93="Обе"),Настройки!$B$3+IF(G93="",0,G93)*Настройки!$C$3,0)</f>
        <v>0</v>
      </c>
      <c r="O93" s="28">
        <f>IF(OR(C93="Татьяна",C93="Обе"),Настройки!$B$4+IF(J93="",0,J93)*Настройки!$C$4,0)</f>
        <v>0</v>
      </c>
      <c r="P93" s="29"/>
      <c r="Q93" s="28" t="str">
        <f t="shared" si="17"/>
        <v/>
      </c>
      <c r="R93" s="29"/>
      <c r="S93" s="28" t="str">
        <f t="shared" si="18"/>
        <v/>
      </c>
      <c r="T93" s="9" t="str">
        <f t="shared" si="19"/>
        <v/>
      </c>
      <c r="U93" s="10"/>
      <c r="V93" s="24" t="str">
        <f t="shared" si="20"/>
        <v/>
      </c>
    </row>
    <row r="94" spans="1:22">
      <c r="A94" s="20"/>
      <c r="B94" s="9" t="str">
        <f t="shared" si="14"/>
        <v/>
      </c>
      <c r="C94" s="10"/>
      <c r="D94" s="29"/>
      <c r="E94" s="29"/>
      <c r="F94" s="29"/>
      <c r="G94" s="28" t="str">
        <f t="shared" si="15"/>
        <v/>
      </c>
      <c r="H94" s="29"/>
      <c r="I94" s="29"/>
      <c r="J94" s="28" t="str">
        <f t="shared" si="16"/>
        <v/>
      </c>
      <c r="K94" s="29"/>
      <c r="L94" s="29"/>
      <c r="M94" s="29"/>
      <c r="N94" s="28">
        <f>IF(OR(C94="Ирина",C94="Обе"),Настройки!$B$3+IF(G94="",0,G94)*Настройки!$C$3,0)</f>
        <v>0</v>
      </c>
      <c r="O94" s="28">
        <f>IF(OR(C94="Татьяна",C94="Обе"),Настройки!$B$4+IF(J94="",0,J94)*Настройки!$C$4,0)</f>
        <v>0</v>
      </c>
      <c r="P94" s="29"/>
      <c r="Q94" s="28" t="str">
        <f t="shared" si="17"/>
        <v/>
      </c>
      <c r="R94" s="29"/>
      <c r="S94" s="28" t="str">
        <f t="shared" si="18"/>
        <v/>
      </c>
      <c r="T94" s="9" t="str">
        <f t="shared" si="19"/>
        <v/>
      </c>
      <c r="U94" s="10"/>
      <c r="V94" s="24" t="str">
        <f t="shared" si="20"/>
        <v/>
      </c>
    </row>
    <row r="95" spans="1:22">
      <c r="A95" s="20"/>
      <c r="B95" s="9" t="str">
        <f t="shared" si="14"/>
        <v/>
      </c>
      <c r="C95" s="10"/>
      <c r="D95" s="29"/>
      <c r="E95" s="29"/>
      <c r="F95" s="29"/>
      <c r="G95" s="28" t="str">
        <f t="shared" si="15"/>
        <v/>
      </c>
      <c r="H95" s="29"/>
      <c r="I95" s="29"/>
      <c r="J95" s="28" t="str">
        <f t="shared" si="16"/>
        <v/>
      </c>
      <c r="K95" s="29"/>
      <c r="L95" s="29"/>
      <c r="M95" s="29"/>
      <c r="N95" s="28">
        <f>IF(OR(C95="Ирина",C95="Обе"),Настройки!$B$3+IF(G95="",0,G95)*Настройки!$C$3,0)</f>
        <v>0</v>
      </c>
      <c r="O95" s="28">
        <f>IF(OR(C95="Татьяна",C95="Обе"),Настройки!$B$4+IF(J95="",0,J95)*Настройки!$C$4,0)</f>
        <v>0</v>
      </c>
      <c r="P95" s="29"/>
      <c r="Q95" s="28" t="str">
        <f t="shared" si="17"/>
        <v/>
      </c>
      <c r="R95" s="29"/>
      <c r="S95" s="28" t="str">
        <f t="shared" si="18"/>
        <v/>
      </c>
      <c r="T95" s="9" t="str">
        <f t="shared" si="19"/>
        <v/>
      </c>
      <c r="U95" s="10"/>
      <c r="V95" s="24" t="str">
        <f t="shared" si="20"/>
        <v/>
      </c>
    </row>
    <row r="96" spans="1:22">
      <c r="A96" s="20"/>
      <c r="B96" s="9" t="str">
        <f t="shared" si="14"/>
        <v/>
      </c>
      <c r="C96" s="10"/>
      <c r="D96" s="29"/>
      <c r="E96" s="29"/>
      <c r="F96" s="29"/>
      <c r="G96" s="28" t="str">
        <f t="shared" si="15"/>
        <v/>
      </c>
      <c r="H96" s="29"/>
      <c r="I96" s="29"/>
      <c r="J96" s="28" t="str">
        <f t="shared" si="16"/>
        <v/>
      </c>
      <c r="K96" s="29"/>
      <c r="L96" s="29"/>
      <c r="M96" s="29"/>
      <c r="N96" s="28">
        <f>IF(OR(C96="Ирина",C96="Обе"),Настройки!$B$3+IF(G96="",0,G96)*Настройки!$C$3,0)</f>
        <v>0</v>
      </c>
      <c r="O96" s="28">
        <f>IF(OR(C96="Татьяна",C96="Обе"),Настройки!$B$4+IF(J96="",0,J96)*Настройки!$C$4,0)</f>
        <v>0</v>
      </c>
      <c r="P96" s="29"/>
      <c r="Q96" s="28" t="str">
        <f t="shared" si="17"/>
        <v/>
      </c>
      <c r="R96" s="29"/>
      <c r="S96" s="28" t="str">
        <f t="shared" si="18"/>
        <v/>
      </c>
      <c r="T96" s="9" t="str">
        <f t="shared" si="19"/>
        <v/>
      </c>
      <c r="U96" s="10"/>
      <c r="V96" s="24" t="str">
        <f t="shared" si="20"/>
        <v/>
      </c>
    </row>
    <row r="97" spans="1:22">
      <c r="A97" s="20"/>
      <c r="B97" s="9" t="str">
        <f t="shared" si="14"/>
        <v/>
      </c>
      <c r="C97" s="10"/>
      <c r="D97" s="29"/>
      <c r="E97" s="29"/>
      <c r="F97" s="29"/>
      <c r="G97" s="28" t="str">
        <f t="shared" si="15"/>
        <v/>
      </c>
      <c r="H97" s="29"/>
      <c r="I97" s="29"/>
      <c r="J97" s="28" t="str">
        <f t="shared" si="16"/>
        <v/>
      </c>
      <c r="K97" s="29"/>
      <c r="L97" s="29"/>
      <c r="M97" s="29"/>
      <c r="N97" s="28">
        <f>IF(OR(C97="Ирина",C97="Обе"),Настройки!$B$3+IF(G97="",0,G97)*Настройки!$C$3,0)</f>
        <v>0</v>
      </c>
      <c r="O97" s="28">
        <f>IF(OR(C97="Татьяна",C97="Обе"),Настройки!$B$4+IF(J97="",0,J97)*Настройки!$C$4,0)</f>
        <v>0</v>
      </c>
      <c r="P97" s="29"/>
      <c r="Q97" s="28" t="str">
        <f t="shared" si="17"/>
        <v/>
      </c>
      <c r="R97" s="29"/>
      <c r="S97" s="28" t="str">
        <f t="shared" si="18"/>
        <v/>
      </c>
      <c r="T97" s="9" t="str">
        <f t="shared" si="19"/>
        <v/>
      </c>
      <c r="U97" s="10"/>
      <c r="V97" s="24" t="str">
        <f t="shared" si="20"/>
        <v/>
      </c>
    </row>
    <row r="98" spans="1:22">
      <c r="A98" s="20"/>
      <c r="B98" s="9" t="str">
        <f t="shared" ref="B98:B102" si="21">IF(A98="","",CHOOSE(WEEKDAY(A98,2),"понедельник","вторник","среда","четверг","пятница","суббота","воскресенье"))</f>
        <v/>
      </c>
      <c r="C98" s="10"/>
      <c r="D98" s="29"/>
      <c r="E98" s="29"/>
      <c r="F98" s="29"/>
      <c r="G98" s="28" t="str">
        <f t="shared" si="15"/>
        <v/>
      </c>
      <c r="H98" s="29"/>
      <c r="I98" s="29"/>
      <c r="J98" s="28" t="str">
        <f t="shared" si="16"/>
        <v/>
      </c>
      <c r="K98" s="29"/>
      <c r="L98" s="29"/>
      <c r="M98" s="29"/>
      <c r="N98" s="28">
        <f>IF(OR(C98="Ирина",C98="Обе"),Настройки!$B$3+IF(G98="",0,G98)*Настройки!$C$3,0)</f>
        <v>0</v>
      </c>
      <c r="O98" s="28">
        <f>IF(OR(C98="Татьяна",C98="Обе"),Настройки!$B$4+IF(J98="",0,J98)*Настройки!$C$4,0)</f>
        <v>0</v>
      </c>
      <c r="P98" s="29"/>
      <c r="Q98" s="28" t="str">
        <f t="shared" si="17"/>
        <v/>
      </c>
      <c r="R98" s="29"/>
      <c r="S98" s="28" t="str">
        <f t="shared" si="18"/>
        <v/>
      </c>
      <c r="T98" s="9" t="str">
        <f t="shared" si="19"/>
        <v/>
      </c>
      <c r="U98" s="10"/>
      <c r="V98" s="24" t="str">
        <f t="shared" si="20"/>
        <v/>
      </c>
    </row>
    <row r="99" spans="1:22">
      <c r="A99" s="20"/>
      <c r="B99" s="9" t="str">
        <f t="shared" si="21"/>
        <v/>
      </c>
      <c r="C99" s="10"/>
      <c r="D99" s="29"/>
      <c r="E99" s="29"/>
      <c r="F99" s="29"/>
      <c r="G99" s="28" t="str">
        <f t="shared" ref="G99:G102" si="22">IF(COUNTA(E99:F99)=0,"",SUM(E99:F99))</f>
        <v/>
      </c>
      <c r="H99" s="29"/>
      <c r="I99" s="29"/>
      <c r="J99" s="28" t="str">
        <f t="shared" ref="J99:J102" si="23">IF(COUNTA(H99:I99)=0,"",SUM(H99:I99))</f>
        <v/>
      </c>
      <c r="K99" s="29"/>
      <c r="L99" s="29"/>
      <c r="M99" s="29"/>
      <c r="N99" s="28">
        <f>IF(OR(C99="Ирина",C99="Обе"),Настройки!$B$3+IF(G99="",0,G99)*Настройки!$C$3,0)</f>
        <v>0</v>
      </c>
      <c r="O99" s="28">
        <f>IF(OR(C99="Татьяна",C99="Обе"),Настройки!$B$4+IF(J99="",0,J99)*Настройки!$C$4,0)</f>
        <v>0</v>
      </c>
      <c r="P99" s="29"/>
      <c r="Q99" s="28" t="str">
        <f t="shared" ref="Q99:Q102" si="24">IF(A99="","",D99+E99+H99+L99-K99-P99-M99)</f>
        <v/>
      </c>
      <c r="R99" s="29"/>
      <c r="S99" s="28" t="str">
        <f t="shared" ref="S99:S102" si="25">IF(ISNUMBER(R99),R99-Q99,"")</f>
        <v/>
      </c>
      <c r="T99" s="9" t="str">
        <f t="shared" ref="T99:T102" si="26">IF(ISNUMBER(S99),IF(S99=0,"✅ ВСЁ ТОЧНО",IF(S99&lt;0,"❌ НЕДОСТАЧА "&amp;TEXT(ABS(S99),"#,##0")&amp;" ₽","⚠️ ИЗЛИШЕК "&amp;TEXT(S99,"#,##0")&amp;" ₽")),"")</f>
        <v/>
      </c>
      <c r="U99" s="10"/>
      <c r="V99" s="24" t="str">
        <f t="shared" si="20"/>
        <v/>
      </c>
    </row>
    <row r="100" spans="1:22">
      <c r="A100" s="20"/>
      <c r="B100" s="9" t="str">
        <f t="shared" si="21"/>
        <v/>
      </c>
      <c r="C100" s="10"/>
      <c r="D100" s="29"/>
      <c r="E100" s="29"/>
      <c r="F100" s="29"/>
      <c r="G100" s="28" t="str">
        <f t="shared" si="22"/>
        <v/>
      </c>
      <c r="H100" s="29"/>
      <c r="I100" s="29"/>
      <c r="J100" s="28" t="str">
        <f t="shared" si="23"/>
        <v/>
      </c>
      <c r="K100" s="29"/>
      <c r="L100" s="29"/>
      <c r="M100" s="29"/>
      <c r="N100" s="28">
        <f>IF(OR(C100="Ирина",C100="Обе"),Настройки!$B$3+IF(G100="",0,G100)*Настройки!$C$3,0)</f>
        <v>0</v>
      </c>
      <c r="O100" s="28">
        <f>IF(OR(C100="Татьяна",C100="Обе"),Настройки!$B$4+IF(J100="",0,J100)*Настройки!$C$4,0)</f>
        <v>0</v>
      </c>
      <c r="P100" s="29"/>
      <c r="Q100" s="28" t="str">
        <f t="shared" si="24"/>
        <v/>
      </c>
      <c r="R100" s="29"/>
      <c r="S100" s="28" t="str">
        <f t="shared" si="25"/>
        <v/>
      </c>
      <c r="T100" s="9" t="str">
        <f t="shared" si="26"/>
        <v/>
      </c>
      <c r="U100" s="10"/>
      <c r="V100" s="24" t="str">
        <f t="shared" si="20"/>
        <v/>
      </c>
    </row>
    <row r="101" spans="1:22">
      <c r="A101" s="20"/>
      <c r="B101" s="9" t="str">
        <f t="shared" si="21"/>
        <v/>
      </c>
      <c r="C101" s="10"/>
      <c r="D101" s="29"/>
      <c r="E101" s="29"/>
      <c r="F101" s="29"/>
      <c r="G101" s="28" t="str">
        <f t="shared" si="22"/>
        <v/>
      </c>
      <c r="H101" s="29"/>
      <c r="I101" s="29"/>
      <c r="J101" s="28" t="str">
        <f t="shared" si="23"/>
        <v/>
      </c>
      <c r="K101" s="29"/>
      <c r="L101" s="29"/>
      <c r="M101" s="29"/>
      <c r="N101" s="28">
        <f>IF(OR(C101="Ирина",C101="Обе"),Настройки!$B$3+IF(G101="",0,G101)*Настройки!$C$3,0)</f>
        <v>0</v>
      </c>
      <c r="O101" s="28">
        <f>IF(OR(C101="Татьяна",C101="Обе"),Настройки!$B$4+IF(J101="",0,J101)*Настройки!$C$4,0)</f>
        <v>0</v>
      </c>
      <c r="P101" s="29"/>
      <c r="Q101" s="28" t="str">
        <f t="shared" si="24"/>
        <v/>
      </c>
      <c r="R101" s="29"/>
      <c r="S101" s="28" t="str">
        <f t="shared" si="25"/>
        <v/>
      </c>
      <c r="T101" s="9" t="str">
        <f t="shared" si="26"/>
        <v/>
      </c>
      <c r="U101" s="10"/>
      <c r="V101" s="24" t="str">
        <f t="shared" si="20"/>
        <v/>
      </c>
    </row>
    <row r="102" spans="1:22">
      <c r="A102" s="20"/>
      <c r="B102" s="9" t="str">
        <f t="shared" si="21"/>
        <v/>
      </c>
      <c r="C102" s="10"/>
      <c r="D102" s="29"/>
      <c r="E102" s="29"/>
      <c r="F102" s="29"/>
      <c r="G102" s="28" t="str">
        <f t="shared" si="22"/>
        <v/>
      </c>
      <c r="H102" s="29"/>
      <c r="I102" s="29"/>
      <c r="J102" s="28" t="str">
        <f t="shared" si="23"/>
        <v/>
      </c>
      <c r="K102" s="29"/>
      <c r="L102" s="29"/>
      <c r="M102" s="29"/>
      <c r="N102" s="28">
        <f>IF(OR(C102="Ирина",C102="Обе"),Настройки!$B$3+IF(G102="",0,G102)*Настройки!$C$3,0)</f>
        <v>0</v>
      </c>
      <c r="O102" s="28">
        <f>IF(OR(C102="Татьяна",C102="Обе"),Настройки!$B$4+IF(J102="",0,J102)*Настройки!$C$4,0)</f>
        <v>0</v>
      </c>
      <c r="P102" s="29"/>
      <c r="Q102" s="28" t="str">
        <f t="shared" si="24"/>
        <v/>
      </c>
      <c r="R102" s="29"/>
      <c r="S102" s="28" t="str">
        <f t="shared" si="25"/>
        <v/>
      </c>
      <c r="T102" s="9" t="str">
        <f t="shared" si="26"/>
        <v/>
      </c>
      <c r="U102" s="10"/>
      <c r="V102" s="24" t="str">
        <f t="shared" si="20"/>
        <v/>
      </c>
    </row>
    <row r="103" spans="1:22" ht="14.4">
      <c r="A103" s="1"/>
      <c r="B103" s="1"/>
      <c r="C103" s="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1"/>
      <c r="U103" s="1"/>
    </row>
    <row r="104" spans="1:22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2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2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2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2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2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2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2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2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</sheetData>
  <mergeCells count="2">
    <mergeCell ref="A1:U1"/>
    <mergeCell ref="A2:U2"/>
  </mergeCells>
  <phoneticPr fontId="9" type="noConversion"/>
  <conditionalFormatting sqref="S4:S102">
    <cfRule type="expression" dxfId="7" priority="7">
      <formula>AND(ISNUMBER(S4),S4&lt;0)</formula>
    </cfRule>
    <cfRule type="expression" dxfId="6" priority="8">
      <formula>AND(ISNUMBER(S4),S4=0)</formula>
    </cfRule>
    <cfRule type="expression" dxfId="5" priority="9">
      <formula>AND(ISNUMBER(S4),S4&gt;0)</formula>
    </cfRule>
  </conditionalFormatting>
  <conditionalFormatting sqref="T4:T102">
    <cfRule type="expression" dxfId="4" priority="4">
      <formula>T4="НЕДОСТАЧА"</formula>
    </cfRule>
    <cfRule type="expression" dxfId="3" priority="5">
      <formula>T4="ВСЁ ТОЧНО"</formula>
    </cfRule>
    <cfRule type="expression" dxfId="2" priority="6">
      <formula>T4="ИЗЛИШЕК"</formula>
    </cfRule>
  </conditionalFormatting>
  <conditionalFormatting sqref="V5:V102">
    <cfRule type="expression" dxfId="1" priority="10">
      <formula>V5="✅ ОК"</formula>
    </cfRule>
    <cfRule type="expression" dxfId="0" priority="11">
      <formula>AND(V5&lt;&gt;"",V5&lt;&gt;"✅ ОК")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Настройки!$E$3:$E$5</xm:f>
          </x14:formula1>
          <xm:sqref>C4:C102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0"/>
  <sheetViews>
    <sheetView topLeftCell="A4" workbookViewId="0">
      <selection activeCell="I4" sqref="I4"/>
    </sheetView>
  </sheetViews>
  <sheetFormatPr defaultRowHeight="13.8"/>
  <cols>
    <col min="1" max="1" width="26" customWidth="1"/>
    <col min="2" max="4" width="18" customWidth="1"/>
    <col min="5" max="5" width="20" customWidth="1"/>
    <col min="6" max="6" width="25" customWidth="1"/>
    <col min="7" max="7" width="23" customWidth="1"/>
    <col min="8" max="8" width="18" customWidth="1"/>
  </cols>
  <sheetData>
    <row r="1" spans="1:21" ht="19.8">
      <c r="A1" s="39" t="s">
        <v>47</v>
      </c>
      <c r="B1" s="39"/>
      <c r="C1" s="39"/>
      <c r="D1" s="39"/>
      <c r="E1" s="39"/>
      <c r="F1" s="39"/>
      <c r="G1" s="39"/>
      <c r="H1" s="3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4">
      <c r="A2" s="11" t="s">
        <v>48</v>
      </c>
      <c r="B2" s="21">
        <v>46266</v>
      </c>
      <c r="C2" s="21">
        <v>46295</v>
      </c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4.4">
      <c r="A3" s="12"/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4.4">
      <c r="A4" s="8" t="s">
        <v>49</v>
      </c>
      <c r="B4" s="8" t="s">
        <v>6</v>
      </c>
      <c r="C4" s="8" t="s">
        <v>7</v>
      </c>
      <c r="D4" s="8" t="s">
        <v>50</v>
      </c>
      <c r="E4" s="40" t="s">
        <v>51</v>
      </c>
      <c r="F4" s="40"/>
      <c r="G4" s="40"/>
      <c r="H4" s="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4.4">
      <c r="A5" s="7" t="s">
        <v>52</v>
      </c>
      <c r="B5" s="13">
        <f>COUNTIFS(Касса!$C$4:$C$102,"Ирина",Касса!$A$4:$A$102,"&gt;="&amp;$B$2,Касса!$A$4:$A$102,"&lt;="&amp;$C$2)+COUNTIFS(Касса!$C$4:$C$102,"Обе",Касса!$A$4:$A$102,"&gt;="&amp;$B$2,Касса!$A$4:$A$102,"&lt;="&amp;$C$2)</f>
        <v>0</v>
      </c>
      <c r="C5" s="13">
        <f>COUNTIFS(Касса!$C$4:$C$102,"Татьяна",Касса!$A$4:$A$102,"&gt;="&amp;$B$2,Касса!$A$4:$A$102,"&lt;="&amp;$C$2)+COUNTIFS(Касса!$C$4:$C$102,"Обе",Касса!$A$4:$A$102,"&gt;="&amp;$B$2,Касса!$A$4:$A$102,"&lt;="&amp;$C$2)</f>
        <v>0</v>
      </c>
      <c r="D5" s="13">
        <f>B5+C5</f>
        <v>0</v>
      </c>
      <c r="E5" s="14" t="s">
        <v>10</v>
      </c>
      <c r="F5" s="12" t="s">
        <v>53</v>
      </c>
      <c r="G5" s="12" t="s">
        <v>54</v>
      </c>
      <c r="H5" s="12" t="s">
        <v>55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4.4">
      <c r="A6" s="7" t="s">
        <v>56</v>
      </c>
      <c r="B6" s="15">
        <f>SUMIFS(Касса!$E$4:$E$102,Касса!$A$4:$A$102,"&gt;="&amp;$B$2,Касса!$A$4:$A$102,"&lt;="&amp;$C$2)</f>
        <v>0</v>
      </c>
      <c r="C6" s="15">
        <f>SUMIFS(Касса!$H$4:$H$102,Касса!$A$4:$A$102,"&gt;="&amp;$B$2,Касса!$A$4:$A$102,"&lt;="&amp;$C$2)</f>
        <v>0</v>
      </c>
      <c r="D6" s="15">
        <f>B6+C6</f>
        <v>0</v>
      </c>
      <c r="E6" s="14" t="s">
        <v>12</v>
      </c>
      <c r="F6" s="12" t="s">
        <v>36</v>
      </c>
      <c r="G6" s="12" t="s">
        <v>57</v>
      </c>
      <c r="H6" s="12" t="s">
        <v>58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4.4">
      <c r="A7" s="7" t="s">
        <v>59</v>
      </c>
      <c r="B7" s="15">
        <f>SUMIFS(Касса!$F$4:$F$102,Касса!$A$4:$A$102,"&gt;="&amp;$B$2,Касса!$A$4:$A$102,"&lt;="&amp;$C$2)</f>
        <v>0</v>
      </c>
      <c r="C7" s="15">
        <f>SUMIFS(Касса!$I$4:$I$102,Касса!$A$4:$A$102,"&gt;="&amp;$B$2,Касса!$A$4:$A$102,"&lt;="&amp;$C$2)</f>
        <v>0</v>
      </c>
      <c r="D7" s="15">
        <f>B7+C7</f>
        <v>0</v>
      </c>
      <c r="E7" s="14" t="s">
        <v>14</v>
      </c>
      <c r="F7" s="12" t="s">
        <v>37</v>
      </c>
      <c r="G7" s="12" t="s">
        <v>60</v>
      </c>
      <c r="H7" s="12" t="s">
        <v>61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4.4">
      <c r="A8" s="7" t="s">
        <v>62</v>
      </c>
      <c r="B8" s="15">
        <f>B6+B7</f>
        <v>0</v>
      </c>
      <c r="C8" s="15">
        <f>C6+C7</f>
        <v>0</v>
      </c>
      <c r="D8" s="15">
        <f>D6+D7</f>
        <v>0</v>
      </c>
      <c r="E8" s="14" t="s">
        <v>63</v>
      </c>
      <c r="F8" s="12" t="s">
        <v>64</v>
      </c>
      <c r="G8" s="12" t="s">
        <v>65</v>
      </c>
      <c r="H8" s="12" t="s">
        <v>66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4.4">
      <c r="A9" s="7" t="s">
        <v>67</v>
      </c>
      <c r="B9" s="15">
        <f>SUMIFS(Касса!$N$4:$N$102,Касса!$A$4:$A$102,"&gt;="&amp;$B$2,Касса!$A$4:$A$102,"&lt;="&amp;$C$2)</f>
        <v>0</v>
      </c>
      <c r="C9" s="15">
        <f>SUMIFS(Касса!$O$4:$O$102,Касса!$A$4:$A$102,"&gt;="&amp;$B$2,Касса!$A$4:$A$102,"&lt;="&amp;$C$2)</f>
        <v>0</v>
      </c>
      <c r="D9" s="15">
        <f>B9+C9</f>
        <v>0</v>
      </c>
      <c r="E9" s="14" t="s">
        <v>68</v>
      </c>
      <c r="F9" s="12" t="s">
        <v>69</v>
      </c>
      <c r="G9" s="12" t="s">
        <v>70</v>
      </c>
      <c r="H9" s="12" t="s">
        <v>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27.6">
      <c r="A10" s="7"/>
      <c r="B10" s="15"/>
      <c r="C10" s="15"/>
      <c r="D10" s="15"/>
      <c r="E10" s="14" t="s">
        <v>72</v>
      </c>
      <c r="F10" s="12" t="s">
        <v>73</v>
      </c>
      <c r="G10" s="12" t="s">
        <v>74</v>
      </c>
      <c r="H10" s="12" t="s">
        <v>75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4.4">
      <c r="A11" s="16" t="s">
        <v>76</v>
      </c>
      <c r="B11" s="17" t="s">
        <v>77</v>
      </c>
      <c r="C11" s="17"/>
      <c r="D11" s="17"/>
      <c r="E11" s="12"/>
      <c r="F11" s="12"/>
      <c r="G11" s="12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4.4" customHeight="1">
      <c r="A12" s="7" t="s">
        <v>78</v>
      </c>
      <c r="B12" s="15">
        <f>SUMIFS(Касса!$K$4:$K$102,Касса!$A$4:$A$102,"&gt;="&amp;$B$2,Касса!$A$4:$A$102,"&lt;="&amp;$C$2)</f>
        <v>0</v>
      </c>
      <c r="C12" s="15"/>
      <c r="D12" s="15"/>
      <c r="E12" s="41" t="s">
        <v>79</v>
      </c>
      <c r="F12" s="41"/>
      <c r="G12" s="41"/>
      <c r="H12" s="4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4.4">
      <c r="A13" s="7" t="s">
        <v>80</v>
      </c>
      <c r="B13" s="15">
        <f>SUMIFS(Касса!$L$4:$L$102,Касса!$A$4:$A$102,"&gt;="&amp;$B$2,Касса!$A$4:$A$102,"&lt;="&amp;$C$2)</f>
        <v>0</v>
      </c>
      <c r="C13" s="15"/>
      <c r="D13" s="15"/>
      <c r="E13" s="41"/>
      <c r="F13" s="41"/>
      <c r="G13" s="41"/>
      <c r="H13" s="4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4.4">
      <c r="A14" s="7" t="s">
        <v>81</v>
      </c>
      <c r="B14" s="15">
        <f>SUMIFS(Касса!$M$4:$M$102,Касса!$A$4:$A$102,"&gt;="&amp;$B$2,Касса!$A$4:$A$102,"&lt;="&amp;$C$2)</f>
        <v>0</v>
      </c>
      <c r="C14" s="15"/>
      <c r="D14" s="15"/>
      <c r="E14" s="41"/>
      <c r="F14" s="41"/>
      <c r="G14" s="41"/>
      <c r="H14" s="4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4.4">
      <c r="A15" s="7" t="s">
        <v>82</v>
      </c>
      <c r="B15" s="15">
        <f>SUMIFS(Касса!$P$4:$P$102,Касса!$A$4:$A$102,"&gt;="&amp;$B$2,Касса!$A$4:$A$102,"&lt;="&amp;$C$2)</f>
        <v>0</v>
      </c>
      <c r="C15" s="15"/>
      <c r="D15" s="15"/>
      <c r="E15" s="41"/>
      <c r="F15" s="41"/>
      <c r="G15" s="41"/>
      <c r="H15" s="4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4.4">
      <c r="A16" s="7" t="s">
        <v>83</v>
      </c>
      <c r="B16" s="15">
        <f>-SUMIFS(Касса!$S$4:$S$102,Касса!$A$4:$A$102,"&gt;="&amp;$B$2,Касса!$A$4:$A$102,"&lt;="&amp;$C$2,Касса!$S$4:$S$102,"&lt;0")</f>
        <v>0</v>
      </c>
      <c r="C16" s="15"/>
      <c r="D16" s="15"/>
      <c r="E16" s="12"/>
      <c r="F16" s="12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4.4">
      <c r="A17" s="7" t="s">
        <v>84</v>
      </c>
      <c r="B17" s="15">
        <f>SUMIFS(Касса!$S$4:$S$102,Касса!$A$4:$A$102,"&gt;="&amp;$B$2,Касса!$A$4:$A$102,"&lt;="&amp;$C$2,Касса!$S$4:$S$102,"&gt;0")</f>
        <v>0</v>
      </c>
      <c r="C17" s="7"/>
      <c r="D17" s="7"/>
      <c r="E17" s="12"/>
      <c r="F17" s="12"/>
      <c r="G17" s="12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4.4">
      <c r="A18" s="12" t="s">
        <v>85</v>
      </c>
      <c r="B18" s="27">
        <f>COUNTIFS(Касса!$S$4:$S$102,"&lt;0",Касса!$A$4:$A$102,"&gt;="&amp;$B$2,Касса!$A$4:$A$102,"&lt;="&amp;$C$2)</f>
        <v>0</v>
      </c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4.4">
      <c r="A19" s="12" t="s">
        <v>86</v>
      </c>
      <c r="B19" s="19">
        <f>IF(B18=0,0,B16/B18)</f>
        <v>0</v>
      </c>
      <c r="C19" s="12"/>
      <c r="D19" s="12"/>
      <c r="E19" s="12"/>
      <c r="F19" s="12"/>
      <c r="G19" s="12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4.4">
      <c r="A20" s="25" t="s">
        <v>87</v>
      </c>
      <c r="B20" s="26">
        <f>COUNTIFS(Касса!$V$4:$V$102,"⚠️ ПРОВЕРИТЬ",Касса!$A$4:$A$102,"&gt;="&amp;$B$2,Касса!$A$4:$A$102,"&lt;="&amp;$C$2)</f>
        <v>0</v>
      </c>
      <c r="C20" s="12"/>
      <c r="D20" s="12"/>
      <c r="E20" s="12"/>
      <c r="F20" s="12"/>
      <c r="G20" s="12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4.4">
      <c r="A21" s="18" t="s">
        <v>18</v>
      </c>
      <c r="B21" s="18" t="s">
        <v>36</v>
      </c>
      <c r="C21" s="18" t="s">
        <v>20</v>
      </c>
      <c r="D21" s="12"/>
      <c r="E21" s="12"/>
      <c r="F21" s="12"/>
      <c r="G21" s="12"/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4.4">
      <c r="A22" s="22" t="str">
        <f>IFERROR(IF(AND(Касса!#REF!&gt;=$B$2,Касса!#REF!&lt;=$C$2),Касса!#REF!,""),"")</f>
        <v/>
      </c>
      <c r="B22" s="19" t="str">
        <f>IF(A22="","",IFERROR(Касса!#REF!,""))</f>
        <v/>
      </c>
      <c r="C22" s="12" t="str">
        <f>IF(A22="","",IFERROR(Касса!#REF!,""))</f>
        <v/>
      </c>
      <c r="D22" s="12"/>
      <c r="E22" s="12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4.4">
      <c r="A23" s="22" t="str">
        <f>IFERROR(IF(AND(Касса!A4&gt;=$B$2,Касса!A4&lt;=$C$2),Касса!A4,""),"")</f>
        <v/>
      </c>
      <c r="B23" s="19" t="str">
        <f>IF(A23="","",IFERROR(Касса!S4,""))</f>
        <v/>
      </c>
      <c r="C23" s="12" t="str">
        <f>IF(A23="","",IFERROR(Касса!C4,""))</f>
        <v/>
      </c>
      <c r="D23" s="12"/>
      <c r="E23" s="12"/>
      <c r="F23" s="12"/>
      <c r="G23" s="12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4.4">
      <c r="A24" s="22" t="str">
        <f>IFERROR(IF(AND(Касса!A5&gt;=$B$2,Касса!A5&lt;=$C$2),Касса!A5,""),"")</f>
        <v/>
      </c>
      <c r="B24" s="19" t="str">
        <f>IF(A24="","",IFERROR(Касса!S5,""))</f>
        <v/>
      </c>
      <c r="C24" s="12" t="str">
        <f>IF(A24="","",IFERROR(Касса!C5,""))</f>
        <v/>
      </c>
      <c r="D24" s="12"/>
      <c r="E24" s="12"/>
      <c r="F24" s="12"/>
      <c r="G24" s="12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4.4">
      <c r="A25" s="22" t="str">
        <f>IFERROR(IF(AND(Касса!A6&gt;=$B$2,Касса!A6&lt;=$C$2),Касса!A6,""),"")</f>
        <v/>
      </c>
      <c r="B25" s="19" t="str">
        <f>IF(A25="","",IFERROR(Касса!S6,""))</f>
        <v/>
      </c>
      <c r="C25" s="12" t="str">
        <f>IF(A25="","",IFERROR(Касса!C6,""))</f>
        <v/>
      </c>
      <c r="D25" s="12"/>
      <c r="E25" s="12"/>
      <c r="F25" s="12"/>
      <c r="G25" s="12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4.4">
      <c r="A26" s="22" t="str">
        <f>IFERROR(IF(AND(Касса!A7&gt;=$B$2,Касса!A7&lt;=$C$2),Касса!A7,""),"")</f>
        <v/>
      </c>
      <c r="B26" s="19" t="str">
        <f>IF(A26="","",IFERROR(Касса!S7,""))</f>
        <v/>
      </c>
      <c r="C26" s="12" t="str">
        <f>IF(A26="","",IFERROR(Касса!C7,""))</f>
        <v/>
      </c>
      <c r="D26" s="12"/>
      <c r="E26" s="12"/>
      <c r="F26" s="12"/>
      <c r="G26" s="12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4.4">
      <c r="A27" s="22" t="str">
        <f>IFERROR(IF(AND(Касса!A8&gt;=$B$2,Касса!A8&lt;=$C$2),Касса!A8,""),"")</f>
        <v/>
      </c>
      <c r="B27" s="19" t="str">
        <f>IF(A27="","",IFERROR(Касса!S8,""))</f>
        <v/>
      </c>
      <c r="C27" s="12" t="str">
        <f>IF(A27="","",IFERROR(Касса!C8,""))</f>
        <v/>
      </c>
      <c r="D27" s="12"/>
      <c r="E27" s="12"/>
      <c r="F27" s="12"/>
      <c r="G27" s="12"/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4.4">
      <c r="A28" s="22" t="str">
        <f>IFERROR(IF(AND(Касса!A9&gt;=$B$2,Касса!A9&lt;=$C$2),Касса!A9,""),"")</f>
        <v/>
      </c>
      <c r="B28" s="19" t="str">
        <f>IF(A28="","",IFERROR(Касса!S9,""))</f>
        <v/>
      </c>
      <c r="C28" s="12" t="str">
        <f>IF(A28="","",IFERROR(Касса!C9,""))</f>
        <v/>
      </c>
      <c r="D28" s="12"/>
      <c r="E28" s="12"/>
      <c r="F28" s="12"/>
      <c r="G28" s="12"/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4.4">
      <c r="A29" s="22" t="str">
        <f>IFERROR(IF(AND(Касса!A10&gt;=$B$2,Касса!A10&lt;=$C$2),Касса!A10,""),"")</f>
        <v/>
      </c>
      <c r="B29" s="19" t="str">
        <f>IF(A29="","",IFERROR(Касса!S10,""))</f>
        <v/>
      </c>
      <c r="C29" s="12" t="str">
        <f>IF(A29="","",IFERROR(Касса!C10,""))</f>
        <v/>
      </c>
      <c r="D29" s="12"/>
      <c r="E29" s="12"/>
      <c r="F29" s="12"/>
      <c r="G29" s="12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4.4">
      <c r="A30" s="22" t="str">
        <f>IFERROR(IF(AND(Касса!A11&gt;=$B$2,Касса!A11&lt;=$C$2),Касса!A11,""),"")</f>
        <v/>
      </c>
      <c r="B30" s="19" t="str">
        <f>IF(A30="","",IFERROR(Касса!S11,""))</f>
        <v/>
      </c>
      <c r="C30" s="12" t="str">
        <f>IF(A30="","",IFERROR(Касса!C11,""))</f>
        <v/>
      </c>
      <c r="D30" s="12"/>
      <c r="E30" s="12"/>
      <c r="F30" s="12"/>
      <c r="G30" s="12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4.4">
      <c r="A31" s="22" t="str">
        <f>IFERROR(IF(AND(Касса!A12&gt;=$B$2,Касса!A12&lt;=$C$2),Касса!A12,""),"")</f>
        <v/>
      </c>
      <c r="B31" s="19" t="str">
        <f>IF(A31="","",IFERROR(Касса!S12,""))</f>
        <v/>
      </c>
      <c r="C31" s="12" t="str">
        <f>IF(A31="","",IFERROR(Касса!C12,""))</f>
        <v/>
      </c>
      <c r="D31" s="12"/>
      <c r="E31" s="12"/>
      <c r="F31" s="12"/>
      <c r="G31" s="12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4.4">
      <c r="A32" s="22" t="str">
        <f>IFERROR(IF(AND(Касса!A13&gt;=$B$2,Касса!A13&lt;=$C$2),Касса!A13,""),"")</f>
        <v/>
      </c>
      <c r="B32" s="19" t="str">
        <f>IF(A32="","",IFERROR(Касса!S13,""))</f>
        <v/>
      </c>
      <c r="C32" s="12" t="str">
        <f>IF(A32="","",IFERROR(Касса!C13,""))</f>
        <v/>
      </c>
      <c r="D32" s="12"/>
      <c r="E32" s="12"/>
      <c r="F32" s="12"/>
      <c r="G32" s="12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4.4">
      <c r="A33" s="22" t="str">
        <f>IFERROR(IF(AND(Касса!A14&gt;=$B$2,Касса!A14&lt;=$C$2),Касса!A14,""),"")</f>
        <v/>
      </c>
      <c r="B33" s="19" t="str">
        <f>IF(A33="","",IFERROR(Касса!S14,""))</f>
        <v/>
      </c>
      <c r="C33" s="12" t="str">
        <f>IF(A33="","",IFERROR(Касса!C14,""))</f>
        <v/>
      </c>
      <c r="D33" s="12"/>
      <c r="E33" s="12"/>
      <c r="F33" s="12"/>
      <c r="G33" s="12"/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4.4">
      <c r="A34" s="22" t="str">
        <f>IFERROR(IF(AND(Касса!A15&gt;=$B$2,Касса!A15&lt;=$C$2),Касса!A15,""),"")</f>
        <v/>
      </c>
      <c r="B34" s="19" t="str">
        <f>IF(A34="","",IFERROR(Касса!S15,""))</f>
        <v/>
      </c>
      <c r="C34" s="12" t="str">
        <f>IF(A34="","",IFERROR(Касса!C15,""))</f>
        <v/>
      </c>
      <c r="D34" s="12"/>
      <c r="E34" s="12"/>
      <c r="F34" s="12"/>
      <c r="G34" s="12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4.4">
      <c r="A35" s="22" t="str">
        <f>IFERROR(IF(AND(Касса!A16&gt;=$B$2,Касса!A16&lt;=$C$2),Касса!A16,""),"")</f>
        <v/>
      </c>
      <c r="B35" s="19" t="str">
        <f>IF(A35="","",IFERROR(Касса!S16,""))</f>
        <v/>
      </c>
      <c r="C35" s="12" t="str">
        <f>IF(A35="","",IFERROR(Касса!C16,""))</f>
        <v/>
      </c>
      <c r="D35" s="12"/>
      <c r="E35" s="12"/>
      <c r="F35" s="12"/>
      <c r="G35" s="12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4.4">
      <c r="A36" s="22" t="str">
        <f>IFERROR(IF(AND(Касса!A17&gt;=$B$2,Касса!A17&lt;=$C$2),Касса!A17,""),"")</f>
        <v/>
      </c>
      <c r="B36" s="19" t="str">
        <f>IF(A36="","",IFERROR(Касса!S17,""))</f>
        <v/>
      </c>
      <c r="C36" s="12" t="str">
        <f>IF(A36="","",IFERROR(Касса!C17,""))</f>
        <v/>
      </c>
      <c r="D36" s="12"/>
      <c r="E36" s="12"/>
      <c r="F36" s="12"/>
      <c r="G36" s="12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4.4">
      <c r="A37" s="22" t="str">
        <f>IFERROR(IF(AND(Касса!A18&gt;=$B$2,Касса!A18&lt;=$C$2),Касса!A18,""),"")</f>
        <v/>
      </c>
      <c r="B37" s="19" t="str">
        <f>IF(A37="","",IFERROR(Касса!S18,""))</f>
        <v/>
      </c>
      <c r="C37" s="12" t="str">
        <f>IF(A37="","",IFERROR(Касса!C18,""))</f>
        <v/>
      </c>
      <c r="D37" s="12"/>
      <c r="E37" s="12"/>
      <c r="F37" s="12"/>
      <c r="G37" s="12"/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4.4">
      <c r="A38" s="22" t="str">
        <f>IFERROR(IF(AND(Касса!A19&gt;=$B$2,Касса!A19&lt;=$C$2),Касса!A19,""),"")</f>
        <v/>
      </c>
      <c r="B38" s="19" t="str">
        <f>IF(A38="","",IFERROR(Касса!S19,""))</f>
        <v/>
      </c>
      <c r="C38" s="12" t="str">
        <f>IF(A38="","",IFERROR(Касса!C19,""))</f>
        <v/>
      </c>
      <c r="D38" s="12"/>
      <c r="E38" s="12"/>
      <c r="F38" s="12"/>
      <c r="G38" s="12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4.4">
      <c r="A39" s="22" t="str">
        <f>IFERROR(IF(AND(Касса!A20&gt;=$B$2,Касса!A20&lt;=$C$2),Касса!A20,""),"")</f>
        <v/>
      </c>
      <c r="B39" s="19" t="str">
        <f>IF(A39="","",IFERROR(Касса!S20,""))</f>
        <v/>
      </c>
      <c r="C39" s="12" t="str">
        <f>IF(A39="","",IFERROR(Касса!C20,""))</f>
        <v/>
      </c>
      <c r="D39" s="12"/>
      <c r="E39" s="12"/>
      <c r="F39" s="12"/>
      <c r="G39" s="12"/>
      <c r="H39" s="1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4.4">
      <c r="A40" s="22" t="str">
        <f>IFERROR(IF(AND(Касса!A21&gt;=$B$2,Касса!A21&lt;=$C$2),Касса!A21,""),"")</f>
        <v/>
      </c>
      <c r="B40" s="19" t="str">
        <f>IF(A40="","",IFERROR(Касса!S21,""))</f>
        <v/>
      </c>
      <c r="C40" s="12" t="str">
        <f>IF(A40="","",IFERROR(Касса!C21,""))</f>
        <v/>
      </c>
      <c r="D40" s="12"/>
      <c r="E40" s="12"/>
      <c r="F40" s="12"/>
      <c r="G40" s="12"/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4.4">
      <c r="A41" s="22" t="str">
        <f>IFERROR(IF(AND(Касса!A22&gt;=$B$2,Касса!A22&lt;=$C$2),Касса!A22,""),"")</f>
        <v/>
      </c>
      <c r="B41" s="19" t="str">
        <f>IF(A41="","",IFERROR(Касса!S22,""))</f>
        <v/>
      </c>
      <c r="C41" s="12" t="str">
        <f>IF(A41="","",IFERROR(Касса!C22,""))</f>
        <v/>
      </c>
      <c r="D41" s="12"/>
      <c r="E41" s="12"/>
      <c r="F41" s="12"/>
      <c r="G41" s="12"/>
      <c r="H41" s="1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4.4">
      <c r="A42" s="22" t="str">
        <f>IFERROR(IF(AND(Касса!A23&gt;=$B$2,Касса!A23&lt;=$C$2),Касса!A23,""),"")</f>
        <v/>
      </c>
      <c r="B42" s="19" t="str">
        <f>IF(A42="","",IFERROR(Касса!S23,""))</f>
        <v/>
      </c>
      <c r="C42" s="12" t="str">
        <f>IF(A42="","",IFERROR(Касса!C23,""))</f>
        <v/>
      </c>
      <c r="D42" s="12"/>
      <c r="E42" s="12"/>
      <c r="F42" s="12"/>
      <c r="G42" s="12"/>
      <c r="H42" s="1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4.4">
      <c r="A43" s="22" t="str">
        <f>IFERROR(IF(AND(Касса!A24&gt;=$B$2,Касса!A24&lt;=$C$2),Касса!A24,""),"")</f>
        <v/>
      </c>
      <c r="B43" s="19" t="str">
        <f>IF(A43="","",IFERROR(Касса!S24,""))</f>
        <v/>
      </c>
      <c r="C43" s="12" t="str">
        <f>IF(A43="","",IFERROR(Касса!C24,""))</f>
        <v/>
      </c>
      <c r="D43" s="12"/>
      <c r="E43" s="12"/>
      <c r="F43" s="12"/>
      <c r="G43" s="12"/>
      <c r="H43" s="1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4.4">
      <c r="A44" s="22" t="str">
        <f>IFERROR(IF(AND(Касса!A25&gt;=$B$2,Касса!A25&lt;=$C$2),Касса!A25,""),"")</f>
        <v/>
      </c>
      <c r="B44" s="19" t="str">
        <f>IF(A44="","",IFERROR(Касса!S25,""))</f>
        <v/>
      </c>
      <c r="C44" s="12" t="str">
        <f>IF(A44="","",IFERROR(Касса!C25,""))</f>
        <v/>
      </c>
      <c r="D44" s="12"/>
      <c r="E44" s="12"/>
      <c r="F44" s="12"/>
      <c r="G44" s="12"/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4.4">
      <c r="A45" s="22" t="str">
        <f>IFERROR(IF(AND(Касса!A26&gt;=$B$2,Касса!A26&lt;=$C$2),Касса!A26,""),"")</f>
        <v/>
      </c>
      <c r="B45" s="19" t="str">
        <f>IF(A45="","",IFERROR(Касса!S26,""))</f>
        <v/>
      </c>
      <c r="C45" s="12" t="str">
        <f>IF(A45="","",IFERROR(Касса!C26,""))</f>
        <v/>
      </c>
      <c r="D45" s="12"/>
      <c r="E45" s="12"/>
      <c r="F45" s="12"/>
      <c r="G45" s="12"/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4.4">
      <c r="A46" s="22" t="str">
        <f>IFERROR(IF(AND(Касса!A27&gt;=$B$2,Касса!A27&lt;=$C$2),Касса!A27,""),"")</f>
        <v/>
      </c>
      <c r="B46" s="19" t="str">
        <f>IF(A46="","",IFERROR(Касса!S27,""))</f>
        <v/>
      </c>
      <c r="C46" s="12" t="str">
        <f>IF(A46="","",IFERROR(Касса!C27,""))</f>
        <v/>
      </c>
      <c r="D46" s="12"/>
      <c r="E46" s="12"/>
      <c r="F46" s="12"/>
      <c r="G46" s="12"/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4.4">
      <c r="A47" s="22" t="str">
        <f>IFERROR(IF(AND(Касса!A28&gt;=$B$2,Касса!A28&lt;=$C$2),Касса!A28,""),"")</f>
        <v/>
      </c>
      <c r="B47" s="19" t="str">
        <f>IF(A47="","",IFERROR(Касса!S28,""))</f>
        <v/>
      </c>
      <c r="C47" s="12" t="str">
        <f>IF(A47="","",IFERROR(Касса!C28,""))</f>
        <v/>
      </c>
      <c r="D47" s="12"/>
      <c r="E47" s="12"/>
      <c r="F47" s="12"/>
      <c r="G47" s="12"/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4.4">
      <c r="A48" s="22" t="str">
        <f>IFERROR(IF(AND(Касса!A29&gt;=$B$2,Касса!A29&lt;=$C$2),Касса!A29,""),"")</f>
        <v/>
      </c>
      <c r="B48" s="19" t="str">
        <f>IF(A48="","",IFERROR(Касса!S29,""))</f>
        <v/>
      </c>
      <c r="C48" s="12" t="str">
        <f>IF(A48="","",IFERROR(Касса!C29,""))</f>
        <v/>
      </c>
      <c r="D48" s="12"/>
      <c r="E48" s="12"/>
      <c r="F48" s="12"/>
      <c r="G48" s="12"/>
      <c r="H48" s="1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4.4">
      <c r="A49" s="22" t="str">
        <f>IFERROR(IF(AND(Касса!A30&gt;=$B$2,Касса!A30&lt;=$C$2),Касса!A30,""),"")</f>
        <v/>
      </c>
      <c r="B49" s="19" t="str">
        <f>IF(A49="","",IFERROR(Касса!S30,""))</f>
        <v/>
      </c>
      <c r="C49" s="12" t="str">
        <f>IF(A49="","",IFERROR(Касса!C30,""))</f>
        <v/>
      </c>
      <c r="D49" s="12"/>
      <c r="E49" s="12"/>
      <c r="F49" s="12"/>
      <c r="G49" s="12"/>
      <c r="H49" s="1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4.4">
      <c r="A50" s="22" t="str">
        <f>IFERROR(IF(AND(Касса!A31&gt;=$B$2,Касса!A31&lt;=$C$2),Касса!A31,""),"")</f>
        <v/>
      </c>
      <c r="B50" s="19" t="str">
        <f>IF(A50="","",IFERROR(Касса!S31,""))</f>
        <v/>
      </c>
      <c r="C50" s="12" t="str">
        <f>IF(A50="","",IFERROR(Касса!C31,""))</f>
        <v/>
      </c>
      <c r="D50" s="12"/>
      <c r="E50" s="12"/>
      <c r="F50" s="12"/>
      <c r="G50" s="12"/>
      <c r="H50" s="1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4.4">
      <c r="A51" s="22" t="str">
        <f>IFERROR(IF(AND(Касса!A32&gt;=$B$2,Касса!A32&lt;=$C$2),Касса!A32,""),"")</f>
        <v/>
      </c>
      <c r="B51" s="19" t="str">
        <f>IF(A51="","",IFERROR(Касса!S32,""))</f>
        <v/>
      </c>
      <c r="C51" s="12" t="str">
        <f>IF(A51="","",IFERROR(Касса!C32,""))</f>
        <v/>
      </c>
      <c r="D51" s="12"/>
      <c r="E51" s="12"/>
      <c r="F51" s="12"/>
      <c r="G51" s="12"/>
      <c r="H51" s="1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4.4">
      <c r="A52" s="22" t="str">
        <f>IFERROR(IF(AND(Касса!A33&gt;=$B$2,Касса!A33&lt;=$C$2),Касса!A33,""),"")</f>
        <v/>
      </c>
      <c r="B52" s="19" t="str">
        <f>IF(A52="","",IFERROR(Касса!S33,""))</f>
        <v/>
      </c>
      <c r="C52" s="12" t="str">
        <f>IF(A52="","",IFERROR(Касса!C33,""))</f>
        <v/>
      </c>
      <c r="D52" s="12"/>
      <c r="E52" s="12"/>
      <c r="F52" s="12"/>
      <c r="G52" s="12"/>
      <c r="H52" s="1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</sheetData>
  <mergeCells count="3">
    <mergeCell ref="A1:H1"/>
    <mergeCell ref="E4:H4"/>
    <mergeCell ref="E12:H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Настройки</vt:lpstr>
      <vt:lpstr>Касса</vt:lpstr>
      <vt:lpstr>Отчеты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Ким</cp:lastModifiedBy>
  <dcterms:modified xsi:type="dcterms:W3CDTF">2026-10-15T04:49:41Z</dcterms:modified>
</cp:coreProperties>
</file>